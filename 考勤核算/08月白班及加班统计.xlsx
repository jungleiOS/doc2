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月白班及加班统计" sheetId="1" state="visible" r:id="rId1"/>
    <sheet xmlns:r="http://schemas.openxmlformats.org/officeDocument/2006/relationships" name="每日明细" sheetId="2" state="visible" r:id="rId2"/>
    <sheet xmlns:r="http://schemas.openxmlformats.org/officeDocument/2006/relationships" name="口径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0.0"/>
  </numFmts>
  <fonts count="4">
    <font>
      <name val="Calibri"/>
      <family val="2"/>
      <color theme="1"/>
      <sz val="11"/>
      <scheme val="minor"/>
    </font>
    <font>
      <b val="1"/>
    </font>
    <font>
      <color rgb="00CC0000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1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165" fontId="0" fillId="2" borderId="1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9" customWidth="1" min="3" max="3"/>
    <col width="9" customWidth="1" min="4" max="4"/>
    <col width="9" customWidth="1" min="5" max="5"/>
    <col width="2" customWidth="1" min="6" max="6"/>
    <col width="10" customWidth="1" min="7" max="7"/>
    <col width="10" customWidth="1" min="8" max="8"/>
    <col width="9" customWidth="1" min="9" max="9"/>
    <col width="9" customWidth="1" min="10" max="10"/>
    <col width="9" customWidth="1" min="11" max="11"/>
  </cols>
  <sheetData>
    <row r="1">
      <c r="A1" s="1" t="inlineStr">
        <is>
          <t>2026年8月考勤明细表（白班封顶12h/天，超出计加班；明细补卡后本表自动重算）</t>
        </is>
      </c>
    </row>
    <row r="2">
      <c r="A2" s="2" t="inlineStr">
        <is>
          <t>姓名</t>
        </is>
      </c>
      <c r="B2" s="2" t="inlineStr">
        <is>
          <t>上班天数</t>
        </is>
      </c>
      <c r="C2" s="2" t="inlineStr">
        <is>
          <t>白班</t>
        </is>
      </c>
      <c r="D2" s="2" t="inlineStr">
        <is>
          <t>加班</t>
        </is>
      </c>
      <c r="E2" s="2" t="inlineStr">
        <is>
          <t>合计</t>
        </is>
      </c>
      <c r="G2" s="2" t="inlineStr">
        <is>
          <t>姓名</t>
        </is>
      </c>
      <c r="H2" s="2" t="inlineStr">
        <is>
          <t>上班天数</t>
        </is>
      </c>
      <c r="I2" s="2" t="inlineStr">
        <is>
          <t>白班</t>
        </is>
      </c>
      <c r="J2" s="2" t="inlineStr">
        <is>
          <t>加班</t>
        </is>
      </c>
      <c r="K2" s="2" t="inlineStr">
        <is>
          <t>合计</t>
        </is>
      </c>
    </row>
    <row r="3">
      <c r="A3" s="3" t="inlineStr">
        <is>
          <t>杨秀联</t>
        </is>
      </c>
      <c r="B3" s="3">
        <f>IF(COUNTIFS('每日明细'!$A$2:$A$1892,$A3,'每日明细'!$G$2:$G$1892,"正常")=0,"/",COUNTIFS('每日明细'!$A$2:$A$1892,$A3,'每日明细'!$G$2:$G$1892,"正常"))</f>
        <v/>
      </c>
      <c r="C3" s="3">
        <f>IF($B3="/","/",SUMIFS('每日明细'!$K$2:$K$1892,'每日明细'!$A$2:$A$1892,$A3))</f>
        <v/>
      </c>
      <c r="D3" s="3">
        <f>IF($B3="/","/",SUMIFS('每日明细'!$L$2:$L$1892,'每日明细'!$A$2:$A$1892,$A3))</f>
        <v/>
      </c>
      <c r="E3" s="3">
        <f>IF($B3="/","/",$C3+$D3)</f>
        <v/>
      </c>
      <c r="G3" s="3" t="inlineStr">
        <is>
          <t>张恩兵</t>
        </is>
      </c>
      <c r="H3" s="3">
        <f>IF(COUNTIFS('每日明细'!$A$2:$A$1892,$G3,'每日明细'!$G$2:$G$1892,"正常")=0,"/",COUNTIFS('每日明细'!$A$2:$A$1892,$G3,'每日明细'!$G$2:$G$1892,"正常"))</f>
        <v/>
      </c>
      <c r="I3" s="3">
        <f>IF($H3="/","/",SUMIFS('每日明细'!$K$2:$K$1892,'每日明细'!$A$2:$A$1892,$G3))</f>
        <v/>
      </c>
      <c r="J3" s="3">
        <f>IF($H3="/","/",SUMIFS('每日明细'!$L$2:$L$1892,'每日明细'!$A$2:$A$1892,$G3))</f>
        <v/>
      </c>
      <c r="K3" s="3">
        <f>IF($H3="/","/",$I3+$J3)</f>
        <v/>
      </c>
    </row>
    <row r="4">
      <c r="A4" s="3" t="inlineStr">
        <is>
          <t>宋龙元</t>
        </is>
      </c>
      <c r="B4" s="3">
        <f>IF(COUNTIFS('每日明细'!$A$2:$A$1892,$A4,'每日明细'!$G$2:$G$1892,"正常")=0,"/",COUNTIFS('每日明细'!$A$2:$A$1892,$A4,'每日明细'!$G$2:$G$1892,"正常"))</f>
        <v/>
      </c>
      <c r="C4" s="3">
        <f>IF($B4="/","/",SUMIFS('每日明细'!$K$2:$K$1892,'每日明细'!$A$2:$A$1892,$A4))</f>
        <v/>
      </c>
      <c r="D4" s="3">
        <f>IF($B4="/","/",SUMIFS('每日明细'!$L$2:$L$1892,'每日明细'!$A$2:$A$1892,$A4))</f>
        <v/>
      </c>
      <c r="E4" s="3">
        <f>IF($B4="/","/",$C4+$D4)</f>
        <v/>
      </c>
      <c r="G4" s="3" t="inlineStr">
        <is>
          <t>何开伦</t>
        </is>
      </c>
      <c r="H4" s="3">
        <f>IF(COUNTIFS('每日明细'!$A$2:$A$1892,$G4,'每日明细'!$G$2:$G$1892,"正常")=0,"/",COUNTIFS('每日明细'!$A$2:$A$1892,$G4,'每日明细'!$G$2:$G$1892,"正常"))</f>
        <v/>
      </c>
      <c r="I4" s="3">
        <f>IF($H4="/","/",SUMIFS('每日明细'!$K$2:$K$1892,'每日明细'!$A$2:$A$1892,$G4))</f>
        <v/>
      </c>
      <c r="J4" s="3">
        <f>IF($H4="/","/",SUMIFS('每日明细'!$L$2:$L$1892,'每日明细'!$A$2:$A$1892,$G4))</f>
        <v/>
      </c>
      <c r="K4" s="3">
        <f>IF($H4="/","/",$I4+$J4)</f>
        <v/>
      </c>
    </row>
    <row r="5">
      <c r="A5" s="3" t="inlineStr">
        <is>
          <t>李露</t>
        </is>
      </c>
      <c r="B5" s="3">
        <f>IF(COUNTIFS('每日明细'!$A$2:$A$1892,$A5,'每日明细'!$G$2:$G$1892,"正常")=0,"/",COUNTIFS('每日明细'!$A$2:$A$1892,$A5,'每日明细'!$G$2:$G$1892,"正常"))</f>
        <v/>
      </c>
      <c r="C5" s="3">
        <f>IF($B5="/","/",SUMIFS('每日明细'!$K$2:$K$1892,'每日明细'!$A$2:$A$1892,$A5))</f>
        <v/>
      </c>
      <c r="D5" s="3">
        <f>IF($B5="/","/",SUMIFS('每日明细'!$L$2:$L$1892,'每日明细'!$A$2:$A$1892,$A5))</f>
        <v/>
      </c>
      <c r="E5" s="3">
        <f>IF($B5="/","/",$C5+$D5)</f>
        <v/>
      </c>
      <c r="G5" s="3" t="inlineStr">
        <is>
          <t>李小俐</t>
        </is>
      </c>
      <c r="H5" s="3">
        <f>IF(COUNTIFS('每日明细'!$A$2:$A$1892,$G5,'每日明细'!$G$2:$G$1892,"正常")=0,"/",COUNTIFS('每日明细'!$A$2:$A$1892,$G5,'每日明细'!$G$2:$G$1892,"正常"))</f>
        <v/>
      </c>
      <c r="I5" s="3">
        <f>IF($H5="/","/",SUMIFS('每日明细'!$K$2:$K$1892,'每日明细'!$A$2:$A$1892,$G5))</f>
        <v/>
      </c>
      <c r="J5" s="3">
        <f>IF($H5="/","/",SUMIFS('每日明细'!$L$2:$L$1892,'每日明细'!$A$2:$A$1892,$G5))</f>
        <v/>
      </c>
      <c r="K5" s="3">
        <f>IF($H5="/","/",$I5+$J5)</f>
        <v/>
      </c>
    </row>
    <row r="6">
      <c r="A6" s="3" t="inlineStr">
        <is>
          <t>熊其容</t>
        </is>
      </c>
      <c r="B6" s="3">
        <f>IF(COUNTIFS('每日明细'!$A$2:$A$1892,$A6,'每日明细'!$G$2:$G$1892,"正常")=0,"/",COUNTIFS('每日明细'!$A$2:$A$1892,$A6,'每日明细'!$G$2:$G$1892,"正常"))</f>
        <v/>
      </c>
      <c r="C6" s="3">
        <f>IF($B6="/","/",SUMIFS('每日明细'!$K$2:$K$1892,'每日明细'!$A$2:$A$1892,$A6))</f>
        <v/>
      </c>
      <c r="D6" s="3">
        <f>IF($B6="/","/",SUMIFS('每日明细'!$L$2:$L$1892,'每日明细'!$A$2:$A$1892,$A6))</f>
        <v/>
      </c>
      <c r="E6" s="3">
        <f>IF($B6="/","/",$C6+$D6)</f>
        <v/>
      </c>
      <c r="G6" s="3" t="inlineStr">
        <is>
          <t>李厚强</t>
        </is>
      </c>
      <c r="H6" s="3">
        <f>IF(COUNTIFS('每日明细'!$A$2:$A$1892,$G6,'每日明细'!$G$2:$G$1892,"正常")=0,"/",COUNTIFS('每日明细'!$A$2:$A$1892,$G6,'每日明细'!$G$2:$G$1892,"正常"))</f>
        <v/>
      </c>
      <c r="I6" s="3">
        <f>IF($H6="/","/",SUMIFS('每日明细'!$K$2:$K$1892,'每日明细'!$A$2:$A$1892,$G6))</f>
        <v/>
      </c>
      <c r="J6" s="3">
        <f>IF($H6="/","/",SUMIFS('每日明细'!$L$2:$L$1892,'每日明细'!$A$2:$A$1892,$G6))</f>
        <v/>
      </c>
      <c r="K6" s="3">
        <f>IF($H6="/","/",$I6+$J6)</f>
        <v/>
      </c>
    </row>
    <row r="7">
      <c r="A7" s="3" t="inlineStr">
        <is>
          <t>范云</t>
        </is>
      </c>
      <c r="B7" s="3">
        <f>IF(COUNTIFS('每日明细'!$A$2:$A$1892,$A7,'每日明细'!$G$2:$G$1892,"正常")=0,"/",COUNTIFS('每日明细'!$A$2:$A$1892,$A7,'每日明细'!$G$2:$G$1892,"正常"))</f>
        <v/>
      </c>
      <c r="C7" s="3">
        <f>IF($B7="/","/",SUMIFS('每日明细'!$K$2:$K$1892,'每日明细'!$A$2:$A$1892,$A7))</f>
        <v/>
      </c>
      <c r="D7" s="3">
        <f>IF($B7="/","/",SUMIFS('每日明细'!$L$2:$L$1892,'每日明细'!$A$2:$A$1892,$A7))</f>
        <v/>
      </c>
      <c r="E7" s="3">
        <f>IF($B7="/","/",$C7+$D7)</f>
        <v/>
      </c>
      <c r="G7" s="3" t="inlineStr">
        <is>
          <t>刘常谦</t>
        </is>
      </c>
      <c r="H7" s="3">
        <f>IF(COUNTIFS('每日明细'!$A$2:$A$1892,$G7,'每日明细'!$G$2:$G$1892,"正常")=0,"/",COUNTIFS('每日明细'!$A$2:$A$1892,$G7,'每日明细'!$G$2:$G$1892,"正常"))</f>
        <v/>
      </c>
      <c r="I7" s="3">
        <f>IF($H7="/","/",SUMIFS('每日明细'!$K$2:$K$1892,'每日明细'!$A$2:$A$1892,$G7))</f>
        <v/>
      </c>
      <c r="J7" s="3">
        <f>IF($H7="/","/",SUMIFS('每日明细'!$L$2:$L$1892,'每日明细'!$A$2:$A$1892,$G7))</f>
        <v/>
      </c>
      <c r="K7" s="3">
        <f>IF($H7="/","/",$I7+$J7)</f>
        <v/>
      </c>
    </row>
    <row r="8">
      <c r="A8" s="3" t="inlineStr">
        <is>
          <t>沈学富</t>
        </is>
      </c>
      <c r="B8" s="3">
        <f>IF(COUNTIFS('每日明细'!$A$2:$A$1892,$A8,'每日明细'!$G$2:$G$1892,"正常")=0,"/",COUNTIFS('每日明细'!$A$2:$A$1892,$A8,'每日明细'!$G$2:$G$1892,"正常"))</f>
        <v/>
      </c>
      <c r="C8" s="3">
        <f>IF($B8="/","/",SUMIFS('每日明细'!$K$2:$K$1892,'每日明细'!$A$2:$A$1892,$A8))</f>
        <v/>
      </c>
      <c r="D8" s="3">
        <f>IF($B8="/","/",SUMIFS('每日明细'!$L$2:$L$1892,'每日明细'!$A$2:$A$1892,$A8))</f>
        <v/>
      </c>
      <c r="E8" s="3">
        <f>IF($B8="/","/",$C8+$D8)</f>
        <v/>
      </c>
      <c r="G8" s="3" t="inlineStr">
        <is>
          <t>王召会</t>
        </is>
      </c>
      <c r="H8" s="3">
        <f>IF(COUNTIFS('每日明细'!$A$2:$A$1892,$G8,'每日明细'!$G$2:$G$1892,"正常")=0,"/",COUNTIFS('每日明细'!$A$2:$A$1892,$G8,'每日明细'!$G$2:$G$1892,"正常"))</f>
        <v/>
      </c>
      <c r="I8" s="3">
        <f>IF($H8="/","/",SUMIFS('每日明细'!$K$2:$K$1892,'每日明细'!$A$2:$A$1892,$G8))</f>
        <v/>
      </c>
      <c r="J8" s="3">
        <f>IF($H8="/","/",SUMIFS('每日明细'!$L$2:$L$1892,'每日明细'!$A$2:$A$1892,$G8))</f>
        <v/>
      </c>
      <c r="K8" s="3">
        <f>IF($H8="/","/",$I8+$J8)</f>
        <v/>
      </c>
    </row>
    <row r="9">
      <c r="A9" s="3" t="inlineStr">
        <is>
          <t>曾德双</t>
        </is>
      </c>
      <c r="B9" s="3">
        <f>IF(COUNTIFS('每日明细'!$A$2:$A$1892,$A9,'每日明细'!$G$2:$G$1892,"正常")=0,"/",COUNTIFS('每日明细'!$A$2:$A$1892,$A9,'每日明细'!$G$2:$G$1892,"正常"))</f>
        <v/>
      </c>
      <c r="C9" s="3">
        <f>IF($B9="/","/",SUMIFS('每日明细'!$K$2:$K$1892,'每日明细'!$A$2:$A$1892,$A9))</f>
        <v/>
      </c>
      <c r="D9" s="3">
        <f>IF($B9="/","/",SUMIFS('每日明细'!$L$2:$L$1892,'每日明细'!$A$2:$A$1892,$A9))</f>
        <v/>
      </c>
      <c r="E9" s="3">
        <f>IF($B9="/","/",$C9+$D9)</f>
        <v/>
      </c>
      <c r="G9" s="3" t="inlineStr">
        <is>
          <t>岳安容</t>
        </is>
      </c>
      <c r="H9" s="3">
        <f>IF(COUNTIFS('每日明细'!$A$2:$A$1892,$G9,'每日明细'!$G$2:$G$1892,"正常")=0,"/",COUNTIFS('每日明细'!$A$2:$A$1892,$G9,'每日明细'!$G$2:$G$1892,"正常"))</f>
        <v/>
      </c>
      <c r="I9" s="3">
        <f>IF($H9="/","/",SUMIFS('每日明细'!$K$2:$K$1892,'每日明细'!$A$2:$A$1892,$G9))</f>
        <v/>
      </c>
      <c r="J9" s="3">
        <f>IF($H9="/","/",SUMIFS('每日明细'!$L$2:$L$1892,'每日明细'!$A$2:$A$1892,$G9))</f>
        <v/>
      </c>
      <c r="K9" s="3">
        <f>IF($H9="/","/",$I9+$J9)</f>
        <v/>
      </c>
    </row>
    <row r="10">
      <c r="A10" s="3" t="inlineStr">
        <is>
          <t>喻碧</t>
        </is>
      </c>
      <c r="B10" s="3">
        <f>IF(COUNTIFS('每日明细'!$A$2:$A$1892,$A10,'每日明细'!$G$2:$G$1892,"正常")=0,"/",COUNTIFS('每日明细'!$A$2:$A$1892,$A10,'每日明细'!$G$2:$G$1892,"正常"))</f>
        <v/>
      </c>
      <c r="C10" s="3">
        <f>IF($B10="/","/",SUMIFS('每日明细'!$K$2:$K$1892,'每日明细'!$A$2:$A$1892,$A10))</f>
        <v/>
      </c>
      <c r="D10" s="3">
        <f>IF($B10="/","/",SUMIFS('每日明细'!$L$2:$L$1892,'每日明细'!$A$2:$A$1892,$A10))</f>
        <v/>
      </c>
      <c r="E10" s="3">
        <f>IF($B10="/","/",$C10+$D10)</f>
        <v/>
      </c>
      <c r="G10" s="3" t="inlineStr">
        <is>
          <t>陈善芳</t>
        </is>
      </c>
      <c r="H10" s="3">
        <f>IF(COUNTIFS('每日明细'!$A$2:$A$1892,$G10,'每日明细'!$G$2:$G$1892,"正常")=0,"/",COUNTIFS('每日明细'!$A$2:$A$1892,$G10,'每日明细'!$G$2:$G$1892,"正常"))</f>
        <v/>
      </c>
      <c r="I10" s="3">
        <f>IF($H10="/","/",SUMIFS('每日明细'!$K$2:$K$1892,'每日明细'!$A$2:$A$1892,$G10))</f>
        <v/>
      </c>
      <c r="J10" s="3">
        <f>IF($H10="/","/",SUMIFS('每日明细'!$L$2:$L$1892,'每日明细'!$A$2:$A$1892,$G10))</f>
        <v/>
      </c>
      <c r="K10" s="3">
        <f>IF($H10="/","/",$I10+$J10)</f>
        <v/>
      </c>
    </row>
    <row r="11">
      <c r="A11" s="3" t="inlineStr">
        <is>
          <t>董世会</t>
        </is>
      </c>
      <c r="B11" s="3">
        <f>IF(COUNTIFS('每日明细'!$A$2:$A$1892,$A11,'每日明细'!$G$2:$G$1892,"正常")=0,"/",COUNTIFS('每日明细'!$A$2:$A$1892,$A11,'每日明细'!$G$2:$G$1892,"正常"))</f>
        <v/>
      </c>
      <c r="C11" s="3">
        <f>IF($B11="/","/",SUMIFS('每日明细'!$K$2:$K$1892,'每日明细'!$A$2:$A$1892,$A11))</f>
        <v/>
      </c>
      <c r="D11" s="3">
        <f>IF($B11="/","/",SUMIFS('每日明细'!$L$2:$L$1892,'每日明细'!$A$2:$A$1892,$A11))</f>
        <v/>
      </c>
      <c r="E11" s="3">
        <f>IF($B11="/","/",$C11+$D11)</f>
        <v/>
      </c>
      <c r="G11" s="3" t="inlineStr">
        <is>
          <t>钟富菊</t>
        </is>
      </c>
      <c r="H11" s="3">
        <f>IF(COUNTIFS('每日明细'!$A$2:$A$1892,$G11,'每日明细'!$G$2:$G$1892,"正常")=0,"/",COUNTIFS('每日明细'!$A$2:$A$1892,$G11,'每日明细'!$G$2:$G$1892,"正常"))</f>
        <v/>
      </c>
      <c r="I11" s="3">
        <f>IF($H11="/","/",SUMIFS('每日明细'!$K$2:$K$1892,'每日明细'!$A$2:$A$1892,$G11))</f>
        <v/>
      </c>
      <c r="J11" s="3">
        <f>IF($H11="/","/",SUMIFS('每日明细'!$L$2:$L$1892,'每日明细'!$A$2:$A$1892,$G11))</f>
        <v/>
      </c>
      <c r="K11" s="3">
        <f>IF($H11="/","/",$I11+$J11)</f>
        <v/>
      </c>
    </row>
    <row r="12">
      <c r="A12" s="3" t="inlineStr">
        <is>
          <t>蹇泽会</t>
        </is>
      </c>
      <c r="B12" s="3">
        <f>IF(COUNTIFS('每日明细'!$A$2:$A$1892,$A12,'每日明细'!$G$2:$G$1892,"正常")=0,"/",COUNTIFS('每日明细'!$A$2:$A$1892,$A12,'每日明细'!$G$2:$G$1892,"正常"))</f>
        <v/>
      </c>
      <c r="C12" s="3">
        <f>IF($B12="/","/",SUMIFS('每日明细'!$K$2:$K$1892,'每日明细'!$A$2:$A$1892,$A12))</f>
        <v/>
      </c>
      <c r="D12" s="3">
        <f>IF($B12="/","/",SUMIFS('每日明细'!$L$2:$L$1892,'每日明细'!$A$2:$A$1892,$A12))</f>
        <v/>
      </c>
      <c r="E12" s="3">
        <f>IF($B12="/","/",$C12+$D12)</f>
        <v/>
      </c>
      <c r="G12" s="3" t="inlineStr">
        <is>
          <t>吴光德</t>
        </is>
      </c>
      <c r="H12" s="3">
        <f>IF(COUNTIFS('每日明细'!$A$2:$A$1892,$G12,'每日明细'!$G$2:$G$1892,"正常")=0,"/",COUNTIFS('每日明细'!$A$2:$A$1892,$G12,'每日明细'!$G$2:$G$1892,"正常"))</f>
        <v/>
      </c>
      <c r="I12" s="3">
        <f>IF($H12="/","/",SUMIFS('每日明细'!$K$2:$K$1892,'每日明细'!$A$2:$A$1892,$G12))</f>
        <v/>
      </c>
      <c r="J12" s="3">
        <f>IF($H12="/","/",SUMIFS('每日明细'!$L$2:$L$1892,'每日明细'!$A$2:$A$1892,$G12))</f>
        <v/>
      </c>
      <c r="K12" s="3">
        <f>IF($H12="/","/",$I12+$J12)</f>
        <v/>
      </c>
    </row>
    <row r="13">
      <c r="A13" s="3" t="inlineStr">
        <is>
          <t>沈俊维</t>
        </is>
      </c>
      <c r="B13" s="3">
        <f>IF(COUNTIFS('每日明细'!$A$2:$A$1892,$A13,'每日明细'!$G$2:$G$1892,"正常")=0,"/",COUNTIFS('每日明细'!$A$2:$A$1892,$A13,'每日明细'!$G$2:$G$1892,"正常"))</f>
        <v/>
      </c>
      <c r="C13" s="3">
        <f>IF($B13="/","/",SUMIFS('每日明细'!$K$2:$K$1892,'每日明细'!$A$2:$A$1892,$A13))</f>
        <v/>
      </c>
      <c r="D13" s="3">
        <f>IF($B13="/","/",SUMIFS('每日明细'!$L$2:$L$1892,'每日明细'!$A$2:$A$1892,$A13))</f>
        <v/>
      </c>
      <c r="E13" s="3">
        <f>IF($B13="/","/",$C13+$D13)</f>
        <v/>
      </c>
      <c r="G13" s="3" t="inlineStr">
        <is>
          <t>王林维</t>
        </is>
      </c>
      <c r="H13" s="3">
        <f>IF(COUNTIFS('每日明细'!$A$2:$A$1892,$G13,'每日明细'!$G$2:$G$1892,"正常")=0,"/",COUNTIFS('每日明细'!$A$2:$A$1892,$G13,'每日明细'!$G$2:$G$1892,"正常"))</f>
        <v/>
      </c>
      <c r="I13" s="3">
        <f>IF($H13="/","/",SUMIFS('每日明细'!$K$2:$K$1892,'每日明细'!$A$2:$A$1892,$G13))</f>
        <v/>
      </c>
      <c r="J13" s="3">
        <f>IF($H13="/","/",SUMIFS('每日明细'!$L$2:$L$1892,'每日明细'!$A$2:$A$1892,$G13))</f>
        <v/>
      </c>
      <c r="K13" s="3">
        <f>IF($H13="/","/",$I13+$J13)</f>
        <v/>
      </c>
    </row>
    <row r="14">
      <c r="A14" s="3" t="inlineStr">
        <is>
          <t>杨金玉</t>
        </is>
      </c>
      <c r="B14" s="3">
        <f>IF(COUNTIFS('每日明细'!$A$2:$A$1892,$A14,'每日明细'!$G$2:$G$1892,"正常")=0,"/",COUNTIFS('每日明细'!$A$2:$A$1892,$A14,'每日明细'!$G$2:$G$1892,"正常"))</f>
        <v/>
      </c>
      <c r="C14" s="3">
        <f>IF($B14="/","/",SUMIFS('每日明细'!$K$2:$K$1892,'每日明细'!$A$2:$A$1892,$A14))</f>
        <v/>
      </c>
      <c r="D14" s="3">
        <f>IF($B14="/","/",SUMIFS('每日明细'!$L$2:$L$1892,'每日明细'!$A$2:$A$1892,$A14))</f>
        <v/>
      </c>
      <c r="E14" s="3">
        <f>IF($B14="/","/",$C14+$D14)</f>
        <v/>
      </c>
      <c r="G14" s="3" t="inlineStr">
        <is>
          <t>李树梅</t>
        </is>
      </c>
      <c r="H14" s="3">
        <f>IF(COUNTIFS('每日明细'!$A$2:$A$1892,$G14,'每日明细'!$G$2:$G$1892,"正常")=0,"/",COUNTIFS('每日明细'!$A$2:$A$1892,$G14,'每日明细'!$G$2:$G$1892,"正常"))</f>
        <v/>
      </c>
      <c r="I14" s="3">
        <f>IF($H14="/","/",SUMIFS('每日明细'!$K$2:$K$1892,'每日明细'!$A$2:$A$1892,$G14))</f>
        <v/>
      </c>
      <c r="J14" s="3">
        <f>IF($H14="/","/",SUMIFS('每日明细'!$L$2:$L$1892,'每日明细'!$A$2:$A$1892,$G14))</f>
        <v/>
      </c>
      <c r="K14" s="3">
        <f>IF($H14="/","/",$I14+$J14)</f>
        <v/>
      </c>
    </row>
    <row r="15">
      <c r="A15" s="3" t="inlineStr">
        <is>
          <t>苏邑容</t>
        </is>
      </c>
      <c r="B15" s="3">
        <f>IF(COUNTIFS('每日明细'!$A$2:$A$1892,$A15,'每日明细'!$G$2:$G$1892,"正常")=0,"/",COUNTIFS('每日明细'!$A$2:$A$1892,$A15,'每日明细'!$G$2:$G$1892,"正常"))</f>
        <v/>
      </c>
      <c r="C15" s="3">
        <f>IF($B15="/","/",SUMIFS('每日明细'!$K$2:$K$1892,'每日明细'!$A$2:$A$1892,$A15))</f>
        <v/>
      </c>
      <c r="D15" s="3">
        <f>IF($B15="/","/",SUMIFS('每日明细'!$L$2:$L$1892,'每日明细'!$A$2:$A$1892,$A15))</f>
        <v/>
      </c>
      <c r="E15" s="3">
        <f>IF($B15="/","/",$C15+$D15)</f>
        <v/>
      </c>
      <c r="G15" s="3" t="inlineStr">
        <is>
          <t>刘邓</t>
        </is>
      </c>
      <c r="H15" s="3">
        <f>IF(COUNTIFS('每日明细'!$A$2:$A$1892,$G15,'每日明细'!$G$2:$G$1892,"正常")=0,"/",COUNTIFS('每日明细'!$A$2:$A$1892,$G15,'每日明细'!$G$2:$G$1892,"正常"))</f>
        <v/>
      </c>
      <c r="I15" s="3">
        <f>IF($H15="/","/",SUMIFS('每日明细'!$K$2:$K$1892,'每日明细'!$A$2:$A$1892,$G15))</f>
        <v/>
      </c>
      <c r="J15" s="3">
        <f>IF($H15="/","/",SUMIFS('每日明细'!$L$2:$L$1892,'每日明细'!$A$2:$A$1892,$G15))</f>
        <v/>
      </c>
      <c r="K15" s="3">
        <f>IF($H15="/","/",$I15+$J15)</f>
        <v/>
      </c>
    </row>
    <row r="16">
      <c r="A16" s="3" t="inlineStr">
        <is>
          <t>廖荣萍</t>
        </is>
      </c>
      <c r="B16" s="3">
        <f>IF(COUNTIFS('每日明细'!$A$2:$A$1892,$A16,'每日明细'!$G$2:$G$1892,"正常")=0,"/",COUNTIFS('每日明细'!$A$2:$A$1892,$A16,'每日明细'!$G$2:$G$1892,"正常"))</f>
        <v/>
      </c>
      <c r="C16" s="3">
        <f>IF($B16="/","/",SUMIFS('每日明细'!$K$2:$K$1892,'每日明细'!$A$2:$A$1892,$A16))</f>
        <v/>
      </c>
      <c r="D16" s="3">
        <f>IF($B16="/","/",SUMIFS('每日明细'!$L$2:$L$1892,'每日明细'!$A$2:$A$1892,$A16))</f>
        <v/>
      </c>
      <c r="E16" s="3">
        <f>IF($B16="/","/",$C16+$D16)</f>
        <v/>
      </c>
      <c r="G16" s="3" t="inlineStr">
        <is>
          <t>文亚</t>
        </is>
      </c>
      <c r="H16" s="3">
        <f>IF(COUNTIFS('每日明细'!$A$2:$A$1892,$G16,'每日明细'!$G$2:$G$1892,"正常")=0,"/",COUNTIFS('每日明细'!$A$2:$A$1892,$G16,'每日明细'!$G$2:$G$1892,"正常"))</f>
        <v/>
      </c>
      <c r="I16" s="3">
        <f>IF($H16="/","/",SUMIFS('每日明细'!$K$2:$K$1892,'每日明细'!$A$2:$A$1892,$G16))</f>
        <v/>
      </c>
      <c r="J16" s="3">
        <f>IF($H16="/","/",SUMIFS('每日明细'!$L$2:$L$1892,'每日明细'!$A$2:$A$1892,$G16))</f>
        <v/>
      </c>
      <c r="K16" s="3">
        <f>IF($H16="/","/",$I16+$J16)</f>
        <v/>
      </c>
    </row>
    <row r="17">
      <c r="A17" s="3" t="inlineStr">
        <is>
          <t>骆廷友</t>
        </is>
      </c>
      <c r="B17" s="3">
        <f>IF(COUNTIFS('每日明细'!$A$2:$A$1892,$A17,'每日明细'!$G$2:$G$1892,"正常")=0,"/",COUNTIFS('每日明细'!$A$2:$A$1892,$A17,'每日明细'!$G$2:$G$1892,"正常"))</f>
        <v/>
      </c>
      <c r="C17" s="3">
        <f>IF($B17="/","/",SUMIFS('每日明细'!$K$2:$K$1892,'每日明细'!$A$2:$A$1892,$A17))</f>
        <v/>
      </c>
      <c r="D17" s="3">
        <f>IF($B17="/","/",SUMIFS('每日明细'!$L$2:$L$1892,'每日明细'!$A$2:$A$1892,$A17))</f>
        <v/>
      </c>
      <c r="E17" s="3">
        <f>IF($B17="/","/",$C17+$D17)</f>
        <v/>
      </c>
      <c r="G17" s="3" t="inlineStr">
        <is>
          <t>廖荣碧</t>
        </is>
      </c>
      <c r="H17" s="3">
        <f>IF(COUNTIFS('每日明细'!$A$2:$A$1892,$G17,'每日明细'!$G$2:$G$1892,"正常")=0,"/",COUNTIFS('每日明细'!$A$2:$A$1892,$G17,'每日明细'!$G$2:$G$1892,"正常"))</f>
        <v/>
      </c>
      <c r="I17" s="3">
        <f>IF($H17="/","/",SUMIFS('每日明细'!$K$2:$K$1892,'每日明细'!$A$2:$A$1892,$G17))</f>
        <v/>
      </c>
      <c r="J17" s="3">
        <f>IF($H17="/","/",SUMIFS('每日明细'!$L$2:$L$1892,'每日明细'!$A$2:$A$1892,$G17))</f>
        <v/>
      </c>
      <c r="K17" s="3">
        <f>IF($H17="/","/",$I17+$J17)</f>
        <v/>
      </c>
    </row>
    <row r="18">
      <c r="A18" s="3" t="inlineStr">
        <is>
          <t>黄伟中</t>
        </is>
      </c>
      <c r="B18" s="3">
        <f>IF(COUNTIFS('每日明细'!$A$2:$A$1892,$A18,'每日明细'!$G$2:$G$1892,"正常")=0,"/",COUNTIFS('每日明细'!$A$2:$A$1892,$A18,'每日明细'!$G$2:$G$1892,"正常"))</f>
        <v/>
      </c>
      <c r="C18" s="3">
        <f>IF($B18="/","/",SUMIFS('每日明细'!$K$2:$K$1892,'每日明细'!$A$2:$A$1892,$A18))</f>
        <v/>
      </c>
      <c r="D18" s="3">
        <f>IF($B18="/","/",SUMIFS('每日明细'!$L$2:$L$1892,'每日明细'!$A$2:$A$1892,$A18))</f>
        <v/>
      </c>
      <c r="E18" s="3">
        <f>IF($B18="/","/",$C18+$D18)</f>
        <v/>
      </c>
      <c r="G18" s="3" t="inlineStr">
        <is>
          <t>王才周</t>
        </is>
      </c>
      <c r="H18" s="3">
        <f>IF(COUNTIFS('每日明细'!$A$2:$A$1892,$G18,'每日明细'!$G$2:$G$1892,"正常")=0,"/",COUNTIFS('每日明细'!$A$2:$A$1892,$G18,'每日明细'!$G$2:$G$1892,"正常"))</f>
        <v/>
      </c>
      <c r="I18" s="3">
        <f>IF($H18="/","/",SUMIFS('每日明细'!$K$2:$K$1892,'每日明细'!$A$2:$A$1892,$G18))</f>
        <v/>
      </c>
      <c r="J18" s="3">
        <f>IF($H18="/","/",SUMIFS('每日明细'!$L$2:$L$1892,'每日明细'!$A$2:$A$1892,$G18))</f>
        <v/>
      </c>
      <c r="K18" s="3">
        <f>IF($H18="/","/",$I18+$J18)</f>
        <v/>
      </c>
    </row>
    <row r="19">
      <c r="A19" s="3" t="inlineStr">
        <is>
          <t>钟景良</t>
        </is>
      </c>
      <c r="B19" s="3">
        <f>IF(COUNTIFS('每日明细'!$A$2:$A$1892,$A19,'每日明细'!$G$2:$G$1892,"正常")=0,"/",COUNTIFS('每日明细'!$A$2:$A$1892,$A19,'每日明细'!$G$2:$G$1892,"正常"))</f>
        <v/>
      </c>
      <c r="C19" s="3">
        <f>IF($B19="/","/",SUMIFS('每日明细'!$K$2:$K$1892,'每日明细'!$A$2:$A$1892,$A19))</f>
        <v/>
      </c>
      <c r="D19" s="3">
        <f>IF($B19="/","/",SUMIFS('每日明细'!$L$2:$L$1892,'每日明细'!$A$2:$A$1892,$A19))</f>
        <v/>
      </c>
      <c r="E19" s="3">
        <f>IF($B19="/","/",$C19+$D19)</f>
        <v/>
      </c>
      <c r="G19" s="3" t="inlineStr">
        <is>
          <t>罗先贵</t>
        </is>
      </c>
      <c r="H19" s="3">
        <f>IF(COUNTIFS('每日明细'!$A$2:$A$1892,$G19,'每日明细'!$G$2:$G$1892,"正常")=0,"/",COUNTIFS('每日明细'!$A$2:$A$1892,$G19,'每日明细'!$G$2:$G$1892,"正常"))</f>
        <v/>
      </c>
      <c r="I19" s="3">
        <f>IF($H19="/","/",SUMIFS('每日明细'!$K$2:$K$1892,'每日明细'!$A$2:$A$1892,$G19))</f>
        <v/>
      </c>
      <c r="J19" s="3">
        <f>IF($H19="/","/",SUMIFS('每日明细'!$L$2:$L$1892,'每日明细'!$A$2:$A$1892,$G19))</f>
        <v/>
      </c>
      <c r="K19" s="3">
        <f>IF($H19="/","/",$I19+$J19)</f>
        <v/>
      </c>
    </row>
    <row r="20">
      <c r="A20" s="3" t="inlineStr">
        <is>
          <t>谢安德</t>
        </is>
      </c>
      <c r="B20" s="3">
        <f>IF(COUNTIFS('每日明细'!$A$2:$A$1892,$A20,'每日明细'!$G$2:$G$1892,"正常")=0,"/",COUNTIFS('每日明细'!$A$2:$A$1892,$A20,'每日明细'!$G$2:$G$1892,"正常"))</f>
        <v/>
      </c>
      <c r="C20" s="3">
        <f>IF($B20="/","/",SUMIFS('每日明细'!$K$2:$K$1892,'每日明细'!$A$2:$A$1892,$A20))</f>
        <v/>
      </c>
      <c r="D20" s="3">
        <f>IF($B20="/","/",SUMIFS('每日明细'!$L$2:$L$1892,'每日明细'!$A$2:$A$1892,$A20))</f>
        <v/>
      </c>
      <c r="E20" s="3">
        <f>IF($B20="/","/",$C20+$D20)</f>
        <v/>
      </c>
      <c r="G20" s="3" t="inlineStr">
        <is>
          <t>张祖群</t>
        </is>
      </c>
      <c r="H20" s="3">
        <f>IF(COUNTIFS('每日明细'!$A$2:$A$1892,$G20,'每日明细'!$G$2:$G$1892,"正常")=0,"/",COUNTIFS('每日明细'!$A$2:$A$1892,$G20,'每日明细'!$G$2:$G$1892,"正常"))</f>
        <v/>
      </c>
      <c r="I20" s="3">
        <f>IF($H20="/","/",SUMIFS('每日明细'!$K$2:$K$1892,'每日明细'!$A$2:$A$1892,$G20))</f>
        <v/>
      </c>
      <c r="J20" s="3">
        <f>IF($H20="/","/",SUMIFS('每日明细'!$L$2:$L$1892,'每日明细'!$A$2:$A$1892,$G20))</f>
        <v/>
      </c>
      <c r="K20" s="3">
        <f>IF($H20="/","/",$I20+$J20)</f>
        <v/>
      </c>
    </row>
    <row r="21">
      <c r="A21" s="3" t="inlineStr">
        <is>
          <t>周学莲</t>
        </is>
      </c>
      <c r="B21" s="3">
        <f>IF(COUNTIFS('每日明细'!$A$2:$A$1892,$A21,'每日明细'!$G$2:$G$1892,"正常")=0,"/",COUNTIFS('每日明细'!$A$2:$A$1892,$A21,'每日明细'!$G$2:$G$1892,"正常"))</f>
        <v/>
      </c>
      <c r="C21" s="3">
        <f>IF($B21="/","/",SUMIFS('每日明细'!$K$2:$K$1892,'每日明细'!$A$2:$A$1892,$A21))</f>
        <v/>
      </c>
      <c r="D21" s="3">
        <f>IF($B21="/","/",SUMIFS('每日明细'!$L$2:$L$1892,'每日明细'!$A$2:$A$1892,$A21))</f>
        <v/>
      </c>
      <c r="E21" s="3">
        <f>IF($B21="/","/",$C21+$D21)</f>
        <v/>
      </c>
      <c r="G21" s="3" t="inlineStr">
        <is>
          <t>朱传霞</t>
        </is>
      </c>
      <c r="H21" s="3">
        <f>IF(COUNTIFS('每日明细'!$A$2:$A$1892,$G21,'每日明细'!$G$2:$G$1892,"正常")=0,"/",COUNTIFS('每日明细'!$A$2:$A$1892,$G21,'每日明细'!$G$2:$G$1892,"正常"))</f>
        <v/>
      </c>
      <c r="I21" s="3">
        <f>IF($H21="/","/",SUMIFS('每日明细'!$K$2:$K$1892,'每日明细'!$A$2:$A$1892,$G21))</f>
        <v/>
      </c>
      <c r="J21" s="3">
        <f>IF($H21="/","/",SUMIFS('每日明细'!$L$2:$L$1892,'每日明细'!$A$2:$A$1892,$G21))</f>
        <v/>
      </c>
      <c r="K21" s="3">
        <f>IF($H21="/","/",$I21+$J21)</f>
        <v/>
      </c>
    </row>
    <row r="22">
      <c r="A22" s="3" t="inlineStr">
        <is>
          <t>李芳</t>
        </is>
      </c>
      <c r="B22" s="3">
        <f>IF(COUNTIFS('每日明细'!$A$2:$A$1892,$A22,'每日明细'!$G$2:$G$1892,"正常")=0,"/",COUNTIFS('每日明细'!$A$2:$A$1892,$A22,'每日明细'!$G$2:$G$1892,"正常"))</f>
        <v/>
      </c>
      <c r="C22" s="3">
        <f>IF($B22="/","/",SUMIFS('每日明细'!$K$2:$K$1892,'每日明细'!$A$2:$A$1892,$A22))</f>
        <v/>
      </c>
      <c r="D22" s="3">
        <f>IF($B22="/","/",SUMIFS('每日明细'!$L$2:$L$1892,'每日明细'!$A$2:$A$1892,$A22))</f>
        <v/>
      </c>
      <c r="E22" s="3">
        <f>IF($B22="/","/",$C22+$D22)</f>
        <v/>
      </c>
      <c r="G22" s="3" t="inlineStr">
        <is>
          <t>胥世健</t>
        </is>
      </c>
      <c r="H22" s="3">
        <f>IF(COUNTIFS('每日明细'!$A$2:$A$1892,$G22,'每日明细'!$G$2:$G$1892,"正常")=0,"/",COUNTIFS('每日明细'!$A$2:$A$1892,$G22,'每日明细'!$G$2:$G$1892,"正常"))</f>
        <v/>
      </c>
      <c r="I22" s="3">
        <f>IF($H22="/","/",SUMIFS('每日明细'!$K$2:$K$1892,'每日明细'!$A$2:$A$1892,$G22))</f>
        <v/>
      </c>
      <c r="J22" s="3">
        <f>IF($H22="/","/",SUMIFS('每日明细'!$L$2:$L$1892,'每日明细'!$A$2:$A$1892,$G22))</f>
        <v/>
      </c>
      <c r="K22" s="3">
        <f>IF($H22="/","/",$I22+$J22)</f>
        <v/>
      </c>
    </row>
    <row r="23">
      <c r="A23" s="3" t="inlineStr">
        <is>
          <t>张友群</t>
        </is>
      </c>
      <c r="B23" s="3">
        <f>IF(COUNTIFS('每日明细'!$A$2:$A$1892,$A23,'每日明细'!$G$2:$G$1892,"正常")=0,"/",COUNTIFS('每日明细'!$A$2:$A$1892,$A23,'每日明细'!$G$2:$G$1892,"正常"))</f>
        <v/>
      </c>
      <c r="C23" s="3">
        <f>IF($B23="/","/",SUMIFS('每日明细'!$K$2:$K$1892,'每日明细'!$A$2:$A$1892,$A23))</f>
        <v/>
      </c>
      <c r="D23" s="3">
        <f>IF($B23="/","/",SUMIFS('每日明细'!$L$2:$L$1892,'每日明细'!$A$2:$A$1892,$A23))</f>
        <v/>
      </c>
      <c r="E23" s="3">
        <f>IF($B23="/","/",$C23+$D23)</f>
        <v/>
      </c>
      <c r="G23" s="3" t="inlineStr">
        <is>
          <t>肖成英</t>
        </is>
      </c>
      <c r="H23" s="3">
        <f>IF(COUNTIFS('每日明细'!$A$2:$A$1892,$G23,'每日明细'!$G$2:$G$1892,"正常")=0,"/",COUNTIFS('每日明细'!$A$2:$A$1892,$G23,'每日明细'!$G$2:$G$1892,"正常"))</f>
        <v/>
      </c>
      <c r="I23" s="3">
        <f>IF($H23="/","/",SUMIFS('每日明细'!$K$2:$K$1892,'每日明细'!$A$2:$A$1892,$G23))</f>
        <v/>
      </c>
      <c r="J23" s="3">
        <f>IF($H23="/","/",SUMIFS('每日明细'!$L$2:$L$1892,'每日明细'!$A$2:$A$1892,$G23))</f>
        <v/>
      </c>
      <c r="K23" s="3">
        <f>IF($H23="/","/",$I23+$J23)</f>
        <v/>
      </c>
    </row>
    <row r="24">
      <c r="A24" s="3" t="inlineStr">
        <is>
          <t>王中会</t>
        </is>
      </c>
      <c r="B24" s="3">
        <f>IF(COUNTIFS('每日明细'!$A$2:$A$1892,$A24,'每日明细'!$G$2:$G$1892,"正常")=0,"/",COUNTIFS('每日明细'!$A$2:$A$1892,$A24,'每日明细'!$G$2:$G$1892,"正常"))</f>
        <v/>
      </c>
      <c r="C24" s="3">
        <f>IF($B24="/","/",SUMIFS('每日明细'!$K$2:$K$1892,'每日明细'!$A$2:$A$1892,$A24))</f>
        <v/>
      </c>
      <c r="D24" s="3">
        <f>IF($B24="/","/",SUMIFS('每日明细'!$L$2:$L$1892,'每日明细'!$A$2:$A$1892,$A24))</f>
        <v/>
      </c>
      <c r="E24" s="3">
        <f>IF($B24="/","/",$C24+$D24)</f>
        <v/>
      </c>
      <c r="G24" s="3" t="inlineStr">
        <is>
          <t>陈远满</t>
        </is>
      </c>
      <c r="H24" s="3">
        <f>IF(COUNTIFS('每日明细'!$A$2:$A$1892,$G24,'每日明细'!$G$2:$G$1892,"正常")=0,"/",COUNTIFS('每日明细'!$A$2:$A$1892,$G24,'每日明细'!$G$2:$G$1892,"正常"))</f>
        <v/>
      </c>
      <c r="I24" s="3">
        <f>IF($H24="/","/",SUMIFS('每日明细'!$K$2:$K$1892,'每日明细'!$A$2:$A$1892,$G24))</f>
        <v/>
      </c>
      <c r="J24" s="3">
        <f>IF($H24="/","/",SUMIFS('每日明细'!$L$2:$L$1892,'每日明细'!$A$2:$A$1892,$G24))</f>
        <v/>
      </c>
      <c r="K24" s="3">
        <f>IF($H24="/","/",$I24+$J24)</f>
        <v/>
      </c>
    </row>
    <row r="25">
      <c r="A25" s="3" t="inlineStr">
        <is>
          <t>曾令杰</t>
        </is>
      </c>
      <c r="B25" s="3">
        <f>IF(COUNTIFS('每日明细'!$A$2:$A$1892,$A25,'每日明细'!$G$2:$G$1892,"正常")=0,"/",COUNTIFS('每日明细'!$A$2:$A$1892,$A25,'每日明细'!$G$2:$G$1892,"正常"))</f>
        <v/>
      </c>
      <c r="C25" s="3">
        <f>IF($B25="/","/",SUMIFS('每日明细'!$K$2:$K$1892,'每日明细'!$A$2:$A$1892,$A25))</f>
        <v/>
      </c>
      <c r="D25" s="3">
        <f>IF($B25="/","/",SUMIFS('每日明细'!$L$2:$L$1892,'每日明细'!$A$2:$A$1892,$A25))</f>
        <v/>
      </c>
      <c r="E25" s="3">
        <f>IF($B25="/","/",$C25+$D25)</f>
        <v/>
      </c>
      <c r="G25" s="3" t="inlineStr">
        <is>
          <t>李光烈</t>
        </is>
      </c>
      <c r="H25" s="3">
        <f>IF(COUNTIFS('每日明细'!$A$2:$A$1892,$G25,'每日明细'!$G$2:$G$1892,"正常")=0,"/",COUNTIFS('每日明细'!$A$2:$A$1892,$G25,'每日明细'!$G$2:$G$1892,"正常"))</f>
        <v/>
      </c>
      <c r="I25" s="3">
        <f>IF($H25="/","/",SUMIFS('每日明细'!$K$2:$K$1892,'每日明细'!$A$2:$A$1892,$G25))</f>
        <v/>
      </c>
      <c r="J25" s="3">
        <f>IF($H25="/","/",SUMIFS('每日明细'!$L$2:$L$1892,'每日明细'!$A$2:$A$1892,$G25))</f>
        <v/>
      </c>
      <c r="K25" s="3">
        <f>IF($H25="/","/",$I25+$J25)</f>
        <v/>
      </c>
    </row>
    <row r="26">
      <c r="A26" s="3" t="inlineStr">
        <is>
          <t>陈帮兰</t>
        </is>
      </c>
      <c r="B26" s="3">
        <f>IF(COUNTIFS('每日明细'!$A$2:$A$1892,$A26,'每日明细'!$G$2:$G$1892,"正常")=0,"/",COUNTIFS('每日明细'!$A$2:$A$1892,$A26,'每日明细'!$G$2:$G$1892,"正常"))</f>
        <v/>
      </c>
      <c r="C26" s="3">
        <f>IF($B26="/","/",SUMIFS('每日明细'!$K$2:$K$1892,'每日明细'!$A$2:$A$1892,$A26))</f>
        <v/>
      </c>
      <c r="D26" s="3">
        <f>IF($B26="/","/",SUMIFS('每日明细'!$L$2:$L$1892,'每日明细'!$A$2:$A$1892,$A26))</f>
        <v/>
      </c>
      <c r="E26" s="3">
        <f>IF($B26="/","/",$C26+$D26)</f>
        <v/>
      </c>
      <c r="G26" s="3" t="inlineStr">
        <is>
          <t>何胜洪</t>
        </is>
      </c>
      <c r="H26" s="3">
        <f>IF(COUNTIFS('每日明细'!$A$2:$A$1892,$G26,'每日明细'!$G$2:$G$1892,"正常")=0,"/",COUNTIFS('每日明细'!$A$2:$A$1892,$G26,'每日明细'!$G$2:$G$1892,"正常"))</f>
        <v/>
      </c>
      <c r="I26" s="3">
        <f>IF($H26="/","/",SUMIFS('每日明细'!$K$2:$K$1892,'每日明细'!$A$2:$A$1892,$G26))</f>
        <v/>
      </c>
      <c r="J26" s="3">
        <f>IF($H26="/","/",SUMIFS('每日明细'!$L$2:$L$1892,'每日明细'!$A$2:$A$1892,$G26))</f>
        <v/>
      </c>
      <c r="K26" s="3">
        <f>IF($H26="/","/",$I26+$J26)</f>
        <v/>
      </c>
    </row>
    <row r="27">
      <c r="A27" s="3" t="inlineStr">
        <is>
          <t>李朝维</t>
        </is>
      </c>
      <c r="B27" s="3">
        <f>IF(COUNTIFS('每日明细'!$A$2:$A$1892,$A27,'每日明细'!$G$2:$G$1892,"正常")=0,"/",COUNTIFS('每日明细'!$A$2:$A$1892,$A27,'每日明细'!$G$2:$G$1892,"正常"))</f>
        <v/>
      </c>
      <c r="C27" s="3">
        <f>IF($B27="/","/",SUMIFS('每日明细'!$K$2:$K$1892,'每日明细'!$A$2:$A$1892,$A27))</f>
        <v/>
      </c>
      <c r="D27" s="3">
        <f>IF($B27="/","/",SUMIFS('每日明细'!$L$2:$L$1892,'每日明细'!$A$2:$A$1892,$A27))</f>
        <v/>
      </c>
      <c r="E27" s="3">
        <f>IF($B27="/","/",$C27+$D27)</f>
        <v/>
      </c>
      <c r="G27" s="3" t="inlineStr">
        <is>
          <t>张天福</t>
        </is>
      </c>
      <c r="H27" s="3">
        <f>IF(COUNTIFS('每日明细'!$A$2:$A$1892,$G27,'每日明细'!$G$2:$G$1892,"正常")=0,"/",COUNTIFS('每日明细'!$A$2:$A$1892,$G27,'每日明细'!$G$2:$G$1892,"正常"))</f>
        <v/>
      </c>
      <c r="I27" s="3">
        <f>IF($H27="/","/",SUMIFS('每日明细'!$K$2:$K$1892,'每日明细'!$A$2:$A$1892,$G27))</f>
        <v/>
      </c>
      <c r="J27" s="3">
        <f>IF($H27="/","/",SUMIFS('每日明细'!$L$2:$L$1892,'每日明细'!$A$2:$A$1892,$G27))</f>
        <v/>
      </c>
      <c r="K27" s="3">
        <f>IF($H27="/","/",$I27+$J27)</f>
        <v/>
      </c>
    </row>
    <row r="28">
      <c r="A28" s="3" t="inlineStr">
        <is>
          <t>周豪</t>
        </is>
      </c>
      <c r="B28" s="3">
        <f>IF(COUNTIFS('每日明细'!$A$2:$A$1892,$A28,'每日明细'!$G$2:$G$1892,"正常")=0,"/",COUNTIFS('每日明细'!$A$2:$A$1892,$A28,'每日明细'!$G$2:$G$1892,"正常"))</f>
        <v/>
      </c>
      <c r="C28" s="3">
        <f>IF($B28="/","/",SUMIFS('每日明细'!$K$2:$K$1892,'每日明细'!$A$2:$A$1892,$A28))</f>
        <v/>
      </c>
      <c r="D28" s="3">
        <f>IF($B28="/","/",SUMIFS('每日明细'!$L$2:$L$1892,'每日明细'!$A$2:$A$1892,$A28))</f>
        <v/>
      </c>
      <c r="E28" s="3">
        <f>IF($B28="/","/",$C28+$D28)</f>
        <v/>
      </c>
      <c r="G28" s="3" t="inlineStr">
        <is>
          <t>康林刚</t>
        </is>
      </c>
      <c r="H28" s="3">
        <f>IF(COUNTIFS('每日明细'!$A$2:$A$1892,$G28,'每日明细'!$G$2:$G$1892,"正常")=0,"/",COUNTIFS('每日明细'!$A$2:$A$1892,$G28,'每日明细'!$G$2:$G$1892,"正常"))</f>
        <v/>
      </c>
      <c r="I28" s="3">
        <f>IF($H28="/","/",SUMIFS('每日明细'!$K$2:$K$1892,'每日明细'!$A$2:$A$1892,$G28))</f>
        <v/>
      </c>
      <c r="J28" s="3">
        <f>IF($H28="/","/",SUMIFS('每日明细'!$L$2:$L$1892,'每日明细'!$A$2:$A$1892,$G28))</f>
        <v/>
      </c>
      <c r="K28" s="3">
        <f>IF($H28="/","/",$I28+$J28)</f>
        <v/>
      </c>
    </row>
    <row r="29">
      <c r="A29" s="3" t="inlineStr">
        <is>
          <t>罗祖秀</t>
        </is>
      </c>
      <c r="B29" s="3">
        <f>IF(COUNTIFS('每日明细'!$A$2:$A$1892,$A29,'每日明细'!$G$2:$G$1892,"正常")=0,"/",COUNTIFS('每日明细'!$A$2:$A$1892,$A29,'每日明细'!$G$2:$G$1892,"正常"))</f>
        <v/>
      </c>
      <c r="C29" s="3">
        <f>IF($B29="/","/",SUMIFS('每日明细'!$K$2:$K$1892,'每日明细'!$A$2:$A$1892,$A29))</f>
        <v/>
      </c>
      <c r="D29" s="3">
        <f>IF($B29="/","/",SUMIFS('每日明细'!$L$2:$L$1892,'每日明细'!$A$2:$A$1892,$A29))</f>
        <v/>
      </c>
      <c r="E29" s="3">
        <f>IF($B29="/","/",$C29+$D29)</f>
        <v/>
      </c>
      <c r="G29" s="3" t="inlineStr">
        <is>
          <t>尹洪</t>
        </is>
      </c>
      <c r="H29" s="3">
        <f>IF(COUNTIFS('每日明细'!$A$2:$A$1892,$G29,'每日明细'!$G$2:$G$1892,"正常")=0,"/",COUNTIFS('每日明细'!$A$2:$A$1892,$G29,'每日明细'!$G$2:$G$1892,"正常"))</f>
        <v/>
      </c>
      <c r="I29" s="3">
        <f>IF($H29="/","/",SUMIFS('每日明细'!$K$2:$K$1892,'每日明细'!$A$2:$A$1892,$G29))</f>
        <v/>
      </c>
      <c r="J29" s="3">
        <f>IF($H29="/","/",SUMIFS('每日明细'!$L$2:$L$1892,'每日明细'!$A$2:$A$1892,$G29))</f>
        <v/>
      </c>
      <c r="K29" s="3">
        <f>IF($H29="/","/",$I29+$J29)</f>
        <v/>
      </c>
    </row>
    <row r="30">
      <c r="A30" s="3" t="inlineStr">
        <is>
          <t>张庆文</t>
        </is>
      </c>
      <c r="B30" s="3">
        <f>IF(COUNTIFS('每日明细'!$A$2:$A$1892,$A30,'每日明细'!$G$2:$G$1892,"正常")=0,"/",COUNTIFS('每日明细'!$A$2:$A$1892,$A30,'每日明细'!$G$2:$G$1892,"正常"))</f>
        <v/>
      </c>
      <c r="C30" s="3">
        <f>IF($B30="/","/",SUMIFS('每日明细'!$K$2:$K$1892,'每日明细'!$A$2:$A$1892,$A30))</f>
        <v/>
      </c>
      <c r="D30" s="3">
        <f>IF($B30="/","/",SUMIFS('每日明细'!$L$2:$L$1892,'每日明细'!$A$2:$A$1892,$A30))</f>
        <v/>
      </c>
      <c r="E30" s="3">
        <f>IF($B30="/","/",$C30+$D30)</f>
        <v/>
      </c>
      <c r="G30" s="3" t="inlineStr">
        <is>
          <t>明兴群</t>
        </is>
      </c>
      <c r="H30" s="3">
        <f>IF(COUNTIFS('每日明细'!$A$2:$A$1892,$G30,'每日明细'!$G$2:$G$1892,"正常")=0,"/",COUNTIFS('每日明细'!$A$2:$A$1892,$G30,'每日明细'!$G$2:$G$1892,"正常"))</f>
        <v/>
      </c>
      <c r="I30" s="3">
        <f>IF($H30="/","/",SUMIFS('每日明细'!$K$2:$K$1892,'每日明细'!$A$2:$A$1892,$G30))</f>
        <v/>
      </c>
      <c r="J30" s="3">
        <f>IF($H30="/","/",SUMIFS('每日明细'!$L$2:$L$1892,'每日明细'!$A$2:$A$1892,$G30))</f>
        <v/>
      </c>
      <c r="K30" s="3">
        <f>IF($H30="/","/",$I30+$J30)</f>
        <v/>
      </c>
    </row>
    <row r="31">
      <c r="A31" s="3" t="inlineStr">
        <is>
          <t>夏尚明</t>
        </is>
      </c>
      <c r="B31" s="3">
        <f>IF(COUNTIFS('每日明细'!$A$2:$A$1892,$A31,'每日明细'!$G$2:$G$1892,"正常")=0,"/",COUNTIFS('每日明细'!$A$2:$A$1892,$A31,'每日明细'!$G$2:$G$1892,"正常"))</f>
        <v/>
      </c>
      <c r="C31" s="3">
        <f>IF($B31="/","/",SUMIFS('每日明细'!$K$2:$K$1892,'每日明细'!$A$2:$A$1892,$A31))</f>
        <v/>
      </c>
      <c r="D31" s="3">
        <f>IF($B31="/","/",SUMIFS('每日明细'!$L$2:$L$1892,'每日明细'!$A$2:$A$1892,$A31))</f>
        <v/>
      </c>
      <c r="E31" s="3">
        <f>IF($B31="/","/",$C31+$D31)</f>
        <v/>
      </c>
      <c r="G31" s="3" t="inlineStr">
        <is>
          <t>周歧兰</t>
        </is>
      </c>
      <c r="H31" s="3">
        <f>IF(COUNTIFS('每日明细'!$A$2:$A$1892,$G31,'每日明细'!$G$2:$G$1892,"正常")=0,"/",COUNTIFS('每日明细'!$A$2:$A$1892,$G31,'每日明细'!$G$2:$G$1892,"正常"))</f>
        <v/>
      </c>
      <c r="I31" s="3">
        <f>IF($H31="/","/",SUMIFS('每日明细'!$K$2:$K$1892,'每日明细'!$A$2:$A$1892,$G31))</f>
        <v/>
      </c>
      <c r="J31" s="3">
        <f>IF($H31="/","/",SUMIFS('每日明细'!$L$2:$L$1892,'每日明细'!$A$2:$A$1892,$G31))</f>
        <v/>
      </c>
      <c r="K31" s="3">
        <f>IF($H31="/","/",$I31+$J31)</f>
        <v/>
      </c>
    </row>
    <row r="32">
      <c r="A32" s="3" t="inlineStr">
        <is>
          <t>曾德秀</t>
        </is>
      </c>
      <c r="B32" s="3">
        <f>IF(COUNTIFS('每日明细'!$A$2:$A$1892,$A32,'每日明细'!$G$2:$G$1892,"正常")=0,"/",COUNTIFS('每日明细'!$A$2:$A$1892,$A32,'每日明细'!$G$2:$G$1892,"正常"))</f>
        <v/>
      </c>
      <c r="C32" s="3">
        <f>IF($B32="/","/",SUMIFS('每日明细'!$K$2:$K$1892,'每日明细'!$A$2:$A$1892,$A32))</f>
        <v/>
      </c>
      <c r="D32" s="3">
        <f>IF($B32="/","/",SUMIFS('每日明细'!$L$2:$L$1892,'每日明细'!$A$2:$A$1892,$A32))</f>
        <v/>
      </c>
      <c r="E32" s="3">
        <f>IF($B32="/","/",$C32+$D32)</f>
        <v/>
      </c>
      <c r="G32" s="3" t="inlineStr">
        <is>
          <t>黎应菊</t>
        </is>
      </c>
      <c r="H32" s="3">
        <f>IF(COUNTIFS('每日明细'!$A$2:$A$1892,$G32,'每日明细'!$G$2:$G$1892,"正常")=0,"/",COUNTIFS('每日明细'!$A$2:$A$1892,$G32,'每日明细'!$G$2:$G$1892,"正常"))</f>
        <v/>
      </c>
      <c r="I32" s="3">
        <f>IF($H32="/","/",SUMIFS('每日明细'!$K$2:$K$1892,'每日明细'!$A$2:$A$1892,$G32))</f>
        <v/>
      </c>
      <c r="J32" s="3">
        <f>IF($H32="/","/",SUMIFS('每日明细'!$L$2:$L$1892,'每日明细'!$A$2:$A$1892,$G32))</f>
        <v/>
      </c>
      <c r="K32" s="3">
        <f>IF($H32="/","/",$I32+$J32)</f>
        <v/>
      </c>
    </row>
    <row r="33">
      <c r="A33" s="3" t="inlineStr">
        <is>
          <t>杨泽菊</t>
        </is>
      </c>
      <c r="B33" s="3">
        <f>IF(COUNTIFS('每日明细'!$A$2:$A$1892,$A33,'每日明细'!$G$2:$G$1892,"正常")=0,"/",COUNTIFS('每日明细'!$A$2:$A$1892,$A33,'每日明细'!$G$2:$G$1892,"正常"))</f>
        <v/>
      </c>
      <c r="C33" s="3">
        <f>IF($B33="/","/",SUMIFS('每日明细'!$K$2:$K$1892,'每日明细'!$A$2:$A$1892,$A33))</f>
        <v/>
      </c>
      <c r="D33" s="3">
        <f>IF($B33="/","/",SUMIFS('每日明细'!$L$2:$L$1892,'每日明细'!$A$2:$A$1892,$A33))</f>
        <v/>
      </c>
      <c r="E33" s="3">
        <f>IF($B33="/","/",$C33+$D33)</f>
        <v/>
      </c>
      <c r="G33" s="3" t="n"/>
      <c r="H33" s="3" t="n"/>
      <c r="I33" s="3" t="n"/>
      <c r="J33" s="3" t="n"/>
      <c r="K33" s="3" t="n"/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22" customWidth="1" min="4" max="4"/>
    <col width="8" customWidth="1" min="5" max="5"/>
    <col width="8" customWidth="1" min="6" max="6"/>
    <col width="7" customWidth="1" min="7" max="7"/>
    <col width="10" customWidth="1" min="8" max="8"/>
    <col width="9" customWidth="1" min="9" max="9"/>
    <col width="9" customWidth="1" min="10" max="10"/>
    <col width="8" customWidth="1" min="11" max="11"/>
    <col width="8" customWidth="1" min="12" max="12"/>
  </cols>
  <sheetData>
    <row r="1">
      <c r="A1" s="2" t="inlineStr">
        <is>
          <t>姓名</t>
        </is>
      </c>
      <c r="B1" s="2" t="inlineStr">
        <is>
          <t>日期</t>
        </is>
      </c>
      <c r="C1" s="2" t="inlineStr">
        <is>
          <t>星期</t>
        </is>
      </c>
      <c r="D1" s="2" t="inlineStr">
        <is>
          <t>当日打卡</t>
        </is>
      </c>
      <c r="E1" s="2" t="inlineStr">
        <is>
          <t>首卡</t>
        </is>
      </c>
      <c r="F1" s="2" t="inlineStr">
        <is>
          <t>末卡</t>
        </is>
      </c>
      <c r="G1" s="2" t="inlineStr">
        <is>
          <t>状态</t>
        </is>
      </c>
      <c r="H1" s="2" t="inlineStr">
        <is>
          <t>跨度(分钟)</t>
        </is>
      </c>
      <c r="I1" s="2" t="inlineStr">
        <is>
          <t>跨度(h)</t>
        </is>
      </c>
      <c r="J1" s="2" t="inlineStr">
        <is>
          <t>取整工时</t>
        </is>
      </c>
      <c r="K1" s="2" t="inlineStr">
        <is>
          <t>白班</t>
        </is>
      </c>
      <c r="L1" s="2" t="inlineStr">
        <is>
          <t>加班</t>
        </is>
      </c>
    </row>
    <row r="2">
      <c r="A2" s="3" t="inlineStr">
        <is>
          <t>杨秀联</t>
        </is>
      </c>
      <c r="B2" s="3" t="inlineStr">
        <is>
          <t>8/1</t>
        </is>
      </c>
      <c r="C2" s="3" t="inlineStr">
        <is>
          <t>六</t>
        </is>
      </c>
      <c r="D2" s="3" t="inlineStr">
        <is>
          <t>07:58 17:02</t>
        </is>
      </c>
      <c r="E2" s="4" t="n">
        <v>0.3319444444444444</v>
      </c>
      <c r="F2" s="4" t="n">
        <v>0.7097222222222223</v>
      </c>
      <c r="G2" s="3">
        <f>IF($E2="","空卡",IF($F2="","单卡","正常"))</f>
        <v/>
      </c>
      <c r="H2" s="5">
        <f>IF($G2="正常",ROUND(($F2-$E2)*1440,0),"")</f>
        <v/>
      </c>
      <c r="I2" s="6">
        <f>IF($G2="正常",$H2/60,"")</f>
        <v/>
      </c>
      <c r="J2" s="7">
        <f>IF($G2="正常",ROUND($H2/30,0)/2,"")</f>
        <v/>
      </c>
      <c r="K2" s="7">
        <f>IF($G2="正常",MIN($J2,12),"")</f>
        <v/>
      </c>
      <c r="L2" s="7">
        <f>IF($G2="正常",MAX($J2-12,0),"")</f>
        <v/>
      </c>
    </row>
    <row r="3">
      <c r="A3" s="8" t="inlineStr">
        <is>
          <t>杨秀联</t>
        </is>
      </c>
      <c r="B3" s="8" t="inlineStr">
        <is>
          <t>8/2</t>
        </is>
      </c>
      <c r="C3" s="8" t="inlineStr">
        <is>
          <t>日</t>
        </is>
      </c>
      <c r="D3" s="8" t="inlineStr">
        <is>
          <t>07:57</t>
        </is>
      </c>
      <c r="E3" s="9" t="n">
        <v>0.33125</v>
      </c>
      <c r="F3" s="9" t="n"/>
      <c r="G3" s="10">
        <f>IF($E3="","空卡",IF($F3="","单卡","正常"))</f>
        <v/>
      </c>
      <c r="H3" s="11">
        <f>IF($G3="正常",ROUND(($F3-$E3)*1440,0),"")</f>
        <v/>
      </c>
      <c r="I3" s="12">
        <f>IF($G3="正常",$H3/60,"")</f>
        <v/>
      </c>
      <c r="J3" s="13">
        <f>IF($G3="正常",ROUND($H3/30,0)/2,"")</f>
        <v/>
      </c>
      <c r="K3" s="13">
        <f>IF($G3="正常",MIN($J3,12),"")</f>
        <v/>
      </c>
      <c r="L3" s="13">
        <f>IF($G3="正常",MAX($J3-12,0),"")</f>
        <v/>
      </c>
    </row>
    <row r="4">
      <c r="A4" s="3" t="inlineStr">
        <is>
          <t>杨秀联</t>
        </is>
      </c>
      <c r="B4" s="3" t="inlineStr">
        <is>
          <t>8/3</t>
        </is>
      </c>
      <c r="C4" s="3" t="inlineStr">
        <is>
          <t>一</t>
        </is>
      </c>
      <c r="D4" s="3" t="inlineStr">
        <is>
          <t>08:27 15:36</t>
        </is>
      </c>
      <c r="E4" s="4" t="n">
        <v>0.3520833333333334</v>
      </c>
      <c r="F4" s="4" t="n">
        <v>0.65</v>
      </c>
      <c r="G4" s="3">
        <f>IF($E4="","空卡",IF($F4="","单卡","正常"))</f>
        <v/>
      </c>
      <c r="H4" s="5">
        <f>IF($G4="正常",ROUND(($F4-$E4)*1440,0),"")</f>
        <v/>
      </c>
      <c r="I4" s="6">
        <f>IF($G4="正常",$H4/60,"")</f>
        <v/>
      </c>
      <c r="J4" s="7">
        <f>IF($G4="正常",ROUND($H4/30,0)/2,"")</f>
        <v/>
      </c>
      <c r="K4" s="7">
        <f>IF($G4="正常",MIN($J4,12),"")</f>
        <v/>
      </c>
      <c r="L4" s="7">
        <f>IF($G4="正常",MAX($J4-12,0),"")</f>
        <v/>
      </c>
    </row>
    <row r="5">
      <c r="A5" s="8" t="inlineStr">
        <is>
          <t>杨秀联</t>
        </is>
      </c>
      <c r="B5" s="8" t="inlineStr">
        <is>
          <t>8/4</t>
        </is>
      </c>
      <c r="C5" s="8" t="inlineStr">
        <is>
          <t>二</t>
        </is>
      </c>
      <c r="D5" s="8" t="inlineStr"/>
      <c r="E5" s="9" t="n"/>
      <c r="F5" s="9" t="n"/>
      <c r="G5" s="10">
        <f>IF($E5="","空卡",IF($F5="","单卡","正常"))</f>
        <v/>
      </c>
      <c r="H5" s="11">
        <f>IF($G5="正常",ROUND(($F5-$E5)*1440,0),"")</f>
        <v/>
      </c>
      <c r="I5" s="12">
        <f>IF($G5="正常",$H5/60,"")</f>
        <v/>
      </c>
      <c r="J5" s="13">
        <f>IF($G5="正常",ROUND($H5/30,0)/2,"")</f>
        <v/>
      </c>
      <c r="K5" s="13">
        <f>IF($G5="正常",MIN($J5,12),"")</f>
        <v/>
      </c>
      <c r="L5" s="13">
        <f>IF($G5="正常",MAX($J5-12,0),"")</f>
        <v/>
      </c>
    </row>
    <row r="6">
      <c r="A6" s="3" t="inlineStr">
        <is>
          <t>杨秀联</t>
        </is>
      </c>
      <c r="B6" s="3" t="inlineStr">
        <is>
          <t>8/5</t>
        </is>
      </c>
      <c r="C6" s="3" t="inlineStr">
        <is>
          <t>三</t>
        </is>
      </c>
      <c r="D6" s="3" t="inlineStr">
        <is>
          <t>09:58 19:58</t>
        </is>
      </c>
      <c r="E6" s="4" t="n">
        <v>0.4152777777777778</v>
      </c>
      <c r="F6" s="4" t="n">
        <v>0.8319444444444445</v>
      </c>
      <c r="G6" s="3">
        <f>IF($E6="","空卡",IF($F6="","单卡","正常"))</f>
        <v/>
      </c>
      <c r="H6" s="5">
        <f>IF($G6="正常",ROUND(($F6-$E6)*1440,0),"")</f>
        <v/>
      </c>
      <c r="I6" s="6">
        <f>IF($G6="正常",$H6/60,"")</f>
        <v/>
      </c>
      <c r="J6" s="7">
        <f>IF($G6="正常",ROUND($H6/30,0)/2,"")</f>
        <v/>
      </c>
      <c r="K6" s="7">
        <f>IF($G6="正常",MIN($J6,12),"")</f>
        <v/>
      </c>
      <c r="L6" s="7">
        <f>IF($G6="正常",MAX($J6-12,0),"")</f>
        <v/>
      </c>
    </row>
    <row r="7">
      <c r="A7" s="3" t="inlineStr">
        <is>
          <t>杨秀联</t>
        </is>
      </c>
      <c r="B7" s="3" t="inlineStr">
        <is>
          <t>8/6</t>
        </is>
      </c>
      <c r="C7" s="3" t="inlineStr">
        <is>
          <t>四</t>
        </is>
      </c>
      <c r="D7" s="3" t="inlineStr">
        <is>
          <t>08:53 20:01</t>
        </is>
      </c>
      <c r="E7" s="4" t="n">
        <v>0.3701388888888889</v>
      </c>
      <c r="F7" s="4" t="n">
        <v>0.8340277777777778</v>
      </c>
      <c r="G7" s="3">
        <f>IF($E7="","空卡",IF($F7="","单卡","正常"))</f>
        <v/>
      </c>
      <c r="H7" s="5">
        <f>IF($G7="正常",ROUND(($F7-$E7)*1440,0),"")</f>
        <v/>
      </c>
      <c r="I7" s="6">
        <f>IF($G7="正常",$H7/60,"")</f>
        <v/>
      </c>
      <c r="J7" s="7">
        <f>IF($G7="正常",ROUND($H7/30,0)/2,"")</f>
        <v/>
      </c>
      <c r="K7" s="7">
        <f>IF($G7="正常",MIN($J7,12),"")</f>
        <v/>
      </c>
      <c r="L7" s="7">
        <f>IF($G7="正常",MAX($J7-12,0),"")</f>
        <v/>
      </c>
    </row>
    <row r="8">
      <c r="A8" s="3" t="inlineStr">
        <is>
          <t>杨秀联</t>
        </is>
      </c>
      <c r="B8" s="3" t="inlineStr">
        <is>
          <t>8/7</t>
        </is>
      </c>
      <c r="C8" s="3" t="inlineStr">
        <is>
          <t>五</t>
        </is>
      </c>
      <c r="D8" s="3" t="inlineStr">
        <is>
          <t>07:53 20:02</t>
        </is>
      </c>
      <c r="E8" s="4" t="n">
        <v>0.3284722222222222</v>
      </c>
      <c r="F8" s="4" t="n">
        <v>0.8347222222222223</v>
      </c>
      <c r="G8" s="3">
        <f>IF($E8="","空卡",IF($F8="","单卡","正常"))</f>
        <v/>
      </c>
      <c r="H8" s="5">
        <f>IF($G8="正常",ROUND(($F8-$E8)*1440,0),"")</f>
        <v/>
      </c>
      <c r="I8" s="6">
        <f>IF($G8="正常",$H8/60,"")</f>
        <v/>
      </c>
      <c r="J8" s="7">
        <f>IF($G8="正常",ROUND($H8/30,0)/2,"")</f>
        <v/>
      </c>
      <c r="K8" s="7">
        <f>IF($G8="正常",MIN($J8,12),"")</f>
        <v/>
      </c>
      <c r="L8" s="7">
        <f>IF($G8="正常",MAX($J8-12,0),"")</f>
        <v/>
      </c>
    </row>
    <row r="9">
      <c r="A9" s="8" t="inlineStr">
        <is>
          <t>杨秀联</t>
        </is>
      </c>
      <c r="B9" s="8" t="inlineStr">
        <is>
          <t>8/8</t>
        </is>
      </c>
      <c r="C9" s="8" t="inlineStr">
        <is>
          <t>六</t>
        </is>
      </c>
      <c r="D9" s="8" t="inlineStr"/>
      <c r="E9" s="9" t="n"/>
      <c r="F9" s="9" t="n"/>
      <c r="G9" s="10">
        <f>IF($E9="","空卡",IF($F9="","单卡","正常"))</f>
        <v/>
      </c>
      <c r="H9" s="11">
        <f>IF($G9="正常",ROUND(($F9-$E9)*1440,0),"")</f>
        <v/>
      </c>
      <c r="I9" s="12">
        <f>IF($G9="正常",$H9/60,"")</f>
        <v/>
      </c>
      <c r="J9" s="13">
        <f>IF($G9="正常",ROUND($H9/30,0)/2,"")</f>
        <v/>
      </c>
      <c r="K9" s="13">
        <f>IF($G9="正常",MIN($J9,12),"")</f>
        <v/>
      </c>
      <c r="L9" s="13">
        <f>IF($G9="正常",MAX($J9-12,0),"")</f>
        <v/>
      </c>
    </row>
    <row r="10">
      <c r="A10" s="8" t="inlineStr">
        <is>
          <t>杨秀联</t>
        </is>
      </c>
      <c r="B10" s="8" t="inlineStr">
        <is>
          <t>8/9</t>
        </is>
      </c>
      <c r="C10" s="8" t="inlineStr">
        <is>
          <t>日</t>
        </is>
      </c>
      <c r="D10" s="8" t="inlineStr"/>
      <c r="E10" s="9" t="n"/>
      <c r="F10" s="9" t="n"/>
      <c r="G10" s="10">
        <f>IF($E10="","空卡",IF($F10="","单卡","正常"))</f>
        <v/>
      </c>
      <c r="H10" s="11">
        <f>IF($G10="正常",ROUND(($F10-$E10)*1440,0),"")</f>
        <v/>
      </c>
      <c r="I10" s="12">
        <f>IF($G10="正常",$H10/60,"")</f>
        <v/>
      </c>
      <c r="J10" s="13">
        <f>IF($G10="正常",ROUND($H10/30,0)/2,"")</f>
        <v/>
      </c>
      <c r="K10" s="13">
        <f>IF($G10="正常",MIN($J10,12),"")</f>
        <v/>
      </c>
      <c r="L10" s="13">
        <f>IF($G10="正常",MAX($J10-12,0),"")</f>
        <v/>
      </c>
    </row>
    <row r="11">
      <c r="A11" s="3" t="inlineStr">
        <is>
          <t>杨秀联</t>
        </is>
      </c>
      <c r="B11" s="3" t="inlineStr">
        <is>
          <t>8/10</t>
        </is>
      </c>
      <c r="C11" s="3" t="inlineStr">
        <is>
          <t>一</t>
        </is>
      </c>
      <c r="D11" s="3" t="inlineStr">
        <is>
          <t>08:24 19:56</t>
        </is>
      </c>
      <c r="E11" s="4" t="n">
        <v>0.35</v>
      </c>
      <c r="F11" s="4" t="n">
        <v>0.8305555555555556</v>
      </c>
      <c r="G11" s="3">
        <f>IF($E11="","空卡",IF($F11="","单卡","正常"))</f>
        <v/>
      </c>
      <c r="H11" s="5">
        <f>IF($G11="正常",ROUND(($F11-$E11)*1440,0),"")</f>
        <v/>
      </c>
      <c r="I11" s="6">
        <f>IF($G11="正常",$H11/60,"")</f>
        <v/>
      </c>
      <c r="J11" s="7">
        <f>IF($G11="正常",ROUND($H11/30,0)/2,"")</f>
        <v/>
      </c>
      <c r="K11" s="7">
        <f>IF($G11="正常",MIN($J11,12),"")</f>
        <v/>
      </c>
      <c r="L11" s="7">
        <f>IF($G11="正常",MAX($J11-12,0),"")</f>
        <v/>
      </c>
    </row>
    <row r="12">
      <c r="A12" s="3" t="inlineStr">
        <is>
          <t>杨秀联</t>
        </is>
      </c>
      <c r="B12" s="3" t="inlineStr">
        <is>
          <t>8/11</t>
        </is>
      </c>
      <c r="C12" s="3" t="inlineStr">
        <is>
          <t>二</t>
        </is>
      </c>
      <c r="D12" s="3" t="inlineStr">
        <is>
          <t>08:27 18:08</t>
        </is>
      </c>
      <c r="E12" s="4" t="n">
        <v>0.3520833333333334</v>
      </c>
      <c r="F12" s="4" t="n">
        <v>0.7555555555555555</v>
      </c>
      <c r="G12" s="3">
        <f>IF($E12="","空卡",IF($F12="","单卡","正常"))</f>
        <v/>
      </c>
      <c r="H12" s="5">
        <f>IF($G12="正常",ROUND(($F12-$E12)*1440,0),"")</f>
        <v/>
      </c>
      <c r="I12" s="6">
        <f>IF($G12="正常",$H12/60,"")</f>
        <v/>
      </c>
      <c r="J12" s="7">
        <f>IF($G12="正常",ROUND($H12/30,0)/2,"")</f>
        <v/>
      </c>
      <c r="K12" s="7">
        <f>IF($G12="正常",MIN($J12,12),"")</f>
        <v/>
      </c>
      <c r="L12" s="7">
        <f>IF($G12="正常",MAX($J12-12,0),"")</f>
        <v/>
      </c>
    </row>
    <row r="13">
      <c r="A13" s="3" t="inlineStr">
        <is>
          <t>杨秀联</t>
        </is>
      </c>
      <c r="B13" s="3" t="inlineStr">
        <is>
          <t>8/12</t>
        </is>
      </c>
      <c r="C13" s="3" t="inlineStr">
        <is>
          <t>三</t>
        </is>
      </c>
      <c r="D13" s="3" t="inlineStr">
        <is>
          <t>08:24 18:38</t>
        </is>
      </c>
      <c r="E13" s="4" t="n">
        <v>0.35</v>
      </c>
      <c r="F13" s="4" t="n">
        <v>0.7763888888888889</v>
      </c>
      <c r="G13" s="3">
        <f>IF($E13="","空卡",IF($F13="","单卡","正常"))</f>
        <v/>
      </c>
      <c r="H13" s="5">
        <f>IF($G13="正常",ROUND(($F13-$E13)*1440,0),"")</f>
        <v/>
      </c>
      <c r="I13" s="6">
        <f>IF($G13="正常",$H13/60,"")</f>
        <v/>
      </c>
      <c r="J13" s="7">
        <f>IF($G13="正常",ROUND($H13/30,0)/2,"")</f>
        <v/>
      </c>
      <c r="K13" s="7">
        <f>IF($G13="正常",MIN($J13,12),"")</f>
        <v/>
      </c>
      <c r="L13" s="7">
        <f>IF($G13="正常",MAX($J13-12,0),"")</f>
        <v/>
      </c>
    </row>
    <row r="14">
      <c r="A14" s="3" t="inlineStr">
        <is>
          <t>杨秀联</t>
        </is>
      </c>
      <c r="B14" s="3" t="inlineStr">
        <is>
          <t>8/13</t>
        </is>
      </c>
      <c r="C14" s="3" t="inlineStr">
        <is>
          <t>四</t>
        </is>
      </c>
      <c r="D14" s="3" t="inlineStr">
        <is>
          <t>09:59 19:06</t>
        </is>
      </c>
      <c r="E14" s="4" t="n">
        <v>0.4159722222222222</v>
      </c>
      <c r="F14" s="4" t="n">
        <v>0.7958333333333333</v>
      </c>
      <c r="G14" s="3">
        <f>IF($E14="","空卡",IF($F14="","单卡","正常"))</f>
        <v/>
      </c>
      <c r="H14" s="5">
        <f>IF($G14="正常",ROUND(($F14-$E14)*1440,0),"")</f>
        <v/>
      </c>
      <c r="I14" s="6">
        <f>IF($G14="正常",$H14/60,"")</f>
        <v/>
      </c>
      <c r="J14" s="7">
        <f>IF($G14="正常",ROUND($H14/30,0)/2,"")</f>
        <v/>
      </c>
      <c r="K14" s="7">
        <f>IF($G14="正常",MIN($J14,12),"")</f>
        <v/>
      </c>
      <c r="L14" s="7">
        <f>IF($G14="正常",MAX($J14-12,0),"")</f>
        <v/>
      </c>
    </row>
    <row r="15">
      <c r="A15" s="3" t="inlineStr">
        <is>
          <t>杨秀联</t>
        </is>
      </c>
      <c r="B15" s="3" t="inlineStr">
        <is>
          <t>8/14</t>
        </is>
      </c>
      <c r="C15" s="3" t="inlineStr">
        <is>
          <t>五</t>
        </is>
      </c>
      <c r="D15" s="3" t="inlineStr">
        <is>
          <t>06:58 21:04</t>
        </is>
      </c>
      <c r="E15" s="4" t="n">
        <v>0.2902777777777778</v>
      </c>
      <c r="F15" s="4" t="n">
        <v>0.8777777777777778</v>
      </c>
      <c r="G15" s="3">
        <f>IF($E15="","空卡",IF($F15="","单卡","正常"))</f>
        <v/>
      </c>
      <c r="H15" s="5">
        <f>IF($G15="正常",ROUND(($F15-$E15)*1440,0),"")</f>
        <v/>
      </c>
      <c r="I15" s="6">
        <f>IF($G15="正常",$H15/60,"")</f>
        <v/>
      </c>
      <c r="J15" s="7">
        <f>IF($G15="正常",ROUND($H15/30,0)/2,"")</f>
        <v/>
      </c>
      <c r="K15" s="7">
        <f>IF($G15="正常",MIN($J15,12),"")</f>
        <v/>
      </c>
      <c r="L15" s="7">
        <f>IF($G15="正常",MAX($J15-12,0),"")</f>
        <v/>
      </c>
    </row>
    <row r="16">
      <c r="A16" s="3" t="inlineStr">
        <is>
          <t>杨秀联</t>
        </is>
      </c>
      <c r="B16" s="3" t="inlineStr">
        <is>
          <t>8/15</t>
        </is>
      </c>
      <c r="C16" s="3" t="inlineStr">
        <is>
          <t>六</t>
        </is>
      </c>
      <c r="D16" s="3" t="inlineStr">
        <is>
          <t>06:57 19:01</t>
        </is>
      </c>
      <c r="E16" s="4" t="n">
        <v>0.2895833333333334</v>
      </c>
      <c r="F16" s="4" t="n">
        <v>0.7923611111111111</v>
      </c>
      <c r="G16" s="3">
        <f>IF($E16="","空卡",IF($F16="","单卡","正常"))</f>
        <v/>
      </c>
      <c r="H16" s="5">
        <f>IF($G16="正常",ROUND(($F16-$E16)*1440,0),"")</f>
        <v/>
      </c>
      <c r="I16" s="6">
        <f>IF($G16="正常",$H16/60,"")</f>
        <v/>
      </c>
      <c r="J16" s="7">
        <f>IF($G16="正常",ROUND($H16/30,0)/2,"")</f>
        <v/>
      </c>
      <c r="K16" s="7">
        <f>IF($G16="正常",MIN($J16,12),"")</f>
        <v/>
      </c>
      <c r="L16" s="7">
        <f>IF($G16="正常",MAX($J16-12,0),"")</f>
        <v/>
      </c>
    </row>
    <row r="17">
      <c r="A17" s="8" t="inlineStr">
        <is>
          <t>杨秀联</t>
        </is>
      </c>
      <c r="B17" s="8" t="inlineStr">
        <is>
          <t>8/16</t>
        </is>
      </c>
      <c r="C17" s="8" t="inlineStr">
        <is>
          <t>日</t>
        </is>
      </c>
      <c r="D17" s="8" t="inlineStr"/>
      <c r="E17" s="9" t="n"/>
      <c r="F17" s="9" t="n"/>
      <c r="G17" s="10">
        <f>IF($E17="","空卡",IF($F17="","单卡","正常"))</f>
        <v/>
      </c>
      <c r="H17" s="11">
        <f>IF($G17="正常",ROUND(($F17-$E17)*1440,0),"")</f>
        <v/>
      </c>
      <c r="I17" s="12">
        <f>IF($G17="正常",$H17/60,"")</f>
        <v/>
      </c>
      <c r="J17" s="13">
        <f>IF($G17="正常",ROUND($H17/30,0)/2,"")</f>
        <v/>
      </c>
      <c r="K17" s="13">
        <f>IF($G17="正常",MIN($J17,12),"")</f>
        <v/>
      </c>
      <c r="L17" s="13">
        <f>IF($G17="正常",MAX($J17-12,0),"")</f>
        <v/>
      </c>
    </row>
    <row r="18">
      <c r="A18" s="3" t="inlineStr">
        <is>
          <t>杨秀联</t>
        </is>
      </c>
      <c r="B18" s="3" t="inlineStr">
        <is>
          <t>8/17</t>
        </is>
      </c>
      <c r="C18" s="3" t="inlineStr">
        <is>
          <t>一</t>
        </is>
      </c>
      <c r="D18" s="3" t="inlineStr">
        <is>
          <t>07:55 20:06</t>
        </is>
      </c>
      <c r="E18" s="4" t="n">
        <v>0.3298611111111111</v>
      </c>
      <c r="F18" s="4" t="n">
        <v>0.8375</v>
      </c>
      <c r="G18" s="3">
        <f>IF($E18="","空卡",IF($F18="","单卡","正常"))</f>
        <v/>
      </c>
      <c r="H18" s="5">
        <f>IF($G18="正常",ROUND(($F18-$E18)*1440,0),"")</f>
        <v/>
      </c>
      <c r="I18" s="6">
        <f>IF($G18="正常",$H18/60,"")</f>
        <v/>
      </c>
      <c r="J18" s="7">
        <f>IF($G18="正常",ROUND($H18/30,0)/2,"")</f>
        <v/>
      </c>
      <c r="K18" s="7">
        <f>IF($G18="正常",MIN($J18,12),"")</f>
        <v/>
      </c>
      <c r="L18" s="7">
        <f>IF($G18="正常",MAX($J18-12,0),"")</f>
        <v/>
      </c>
    </row>
    <row r="19">
      <c r="A19" s="3" t="inlineStr">
        <is>
          <t>杨秀联</t>
        </is>
      </c>
      <c r="B19" s="3" t="inlineStr">
        <is>
          <t>8/18</t>
        </is>
      </c>
      <c r="C19" s="3" t="inlineStr">
        <is>
          <t>二</t>
        </is>
      </c>
      <c r="D19" s="3" t="inlineStr">
        <is>
          <t>07:55 18:57</t>
        </is>
      </c>
      <c r="E19" s="4" t="n">
        <v>0.3298611111111111</v>
      </c>
      <c r="F19" s="4" t="n">
        <v>0.7895833333333333</v>
      </c>
      <c r="G19" s="3">
        <f>IF($E19="","空卡",IF($F19="","单卡","正常"))</f>
        <v/>
      </c>
      <c r="H19" s="5">
        <f>IF($G19="正常",ROUND(($F19-$E19)*1440,0),"")</f>
        <v/>
      </c>
      <c r="I19" s="6">
        <f>IF($G19="正常",$H19/60,"")</f>
        <v/>
      </c>
      <c r="J19" s="7">
        <f>IF($G19="正常",ROUND($H19/30,0)/2,"")</f>
        <v/>
      </c>
      <c r="K19" s="7">
        <f>IF($G19="正常",MIN($J19,12),"")</f>
        <v/>
      </c>
      <c r="L19" s="7">
        <f>IF($G19="正常",MAX($J19-12,0),"")</f>
        <v/>
      </c>
    </row>
    <row r="20">
      <c r="A20" s="3" t="inlineStr">
        <is>
          <t>杨秀联</t>
        </is>
      </c>
      <c r="B20" s="3" t="inlineStr">
        <is>
          <t>8/19</t>
        </is>
      </c>
      <c r="C20" s="3" t="inlineStr">
        <is>
          <t>三</t>
        </is>
      </c>
      <c r="D20" s="3" t="inlineStr">
        <is>
          <t>08:58 20:32</t>
        </is>
      </c>
      <c r="E20" s="4" t="n">
        <v>0.3736111111111111</v>
      </c>
      <c r="F20" s="4" t="n">
        <v>0.8555555555555555</v>
      </c>
      <c r="G20" s="3">
        <f>IF($E20="","空卡",IF($F20="","单卡","正常"))</f>
        <v/>
      </c>
      <c r="H20" s="5">
        <f>IF($G20="正常",ROUND(($F20-$E20)*1440,0),"")</f>
        <v/>
      </c>
      <c r="I20" s="6">
        <f>IF($G20="正常",$H20/60,"")</f>
        <v/>
      </c>
      <c r="J20" s="7">
        <f>IF($G20="正常",ROUND($H20/30,0)/2,"")</f>
        <v/>
      </c>
      <c r="K20" s="7">
        <f>IF($G20="正常",MIN($J20,12),"")</f>
        <v/>
      </c>
      <c r="L20" s="7">
        <f>IF($G20="正常",MAX($J20-12,0),"")</f>
        <v/>
      </c>
    </row>
    <row r="21">
      <c r="A21" s="3" t="inlineStr">
        <is>
          <t>杨秀联</t>
        </is>
      </c>
      <c r="B21" s="3" t="inlineStr">
        <is>
          <t>8/20</t>
        </is>
      </c>
      <c r="C21" s="3" t="inlineStr">
        <is>
          <t>四</t>
        </is>
      </c>
      <c r="D21" s="3" t="inlineStr">
        <is>
          <t>08:31 20:02</t>
        </is>
      </c>
      <c r="E21" s="4" t="n">
        <v>0.3548611111111111</v>
      </c>
      <c r="F21" s="4" t="n">
        <v>0.8347222222222223</v>
      </c>
      <c r="G21" s="3">
        <f>IF($E21="","空卡",IF($F21="","单卡","正常"))</f>
        <v/>
      </c>
      <c r="H21" s="5">
        <f>IF($G21="正常",ROUND(($F21-$E21)*1440,0),"")</f>
        <v/>
      </c>
      <c r="I21" s="6">
        <f>IF($G21="正常",$H21/60,"")</f>
        <v/>
      </c>
      <c r="J21" s="7">
        <f>IF($G21="正常",ROUND($H21/30,0)/2,"")</f>
        <v/>
      </c>
      <c r="K21" s="7">
        <f>IF($G21="正常",MIN($J21,12),"")</f>
        <v/>
      </c>
      <c r="L21" s="7">
        <f>IF($G21="正常",MAX($J21-12,0),"")</f>
        <v/>
      </c>
    </row>
    <row r="22">
      <c r="A22" s="3" t="inlineStr">
        <is>
          <t>杨秀联</t>
        </is>
      </c>
      <c r="B22" s="3" t="inlineStr">
        <is>
          <t>8/21</t>
        </is>
      </c>
      <c r="C22" s="3" t="inlineStr">
        <is>
          <t>五</t>
        </is>
      </c>
      <c r="D22" s="3" t="inlineStr">
        <is>
          <t>06:58 19:03</t>
        </is>
      </c>
      <c r="E22" s="4" t="n">
        <v>0.2902777777777778</v>
      </c>
      <c r="F22" s="4" t="n">
        <v>0.79375</v>
      </c>
      <c r="G22" s="3">
        <f>IF($E22="","空卡",IF($F22="","单卡","正常"))</f>
        <v/>
      </c>
      <c r="H22" s="5">
        <f>IF($G22="正常",ROUND(($F22-$E22)*1440,0),"")</f>
        <v/>
      </c>
      <c r="I22" s="6">
        <f>IF($G22="正常",$H22/60,"")</f>
        <v/>
      </c>
      <c r="J22" s="7">
        <f>IF($G22="正常",ROUND($H22/30,0)/2,"")</f>
        <v/>
      </c>
      <c r="K22" s="7">
        <f>IF($G22="正常",MIN($J22,12),"")</f>
        <v/>
      </c>
      <c r="L22" s="7">
        <f>IF($G22="正常",MAX($J22-12,0),"")</f>
        <v/>
      </c>
    </row>
    <row r="23">
      <c r="A23" s="3" t="inlineStr">
        <is>
          <t>杨秀联</t>
        </is>
      </c>
      <c r="B23" s="3" t="inlineStr">
        <is>
          <t>8/22</t>
        </is>
      </c>
      <c r="C23" s="3" t="inlineStr">
        <is>
          <t>六</t>
        </is>
      </c>
      <c r="D23" s="3" t="inlineStr">
        <is>
          <t>06:58 17:31</t>
        </is>
      </c>
      <c r="E23" s="4" t="n">
        <v>0.2902777777777778</v>
      </c>
      <c r="F23" s="4" t="n">
        <v>0.7298611111111111</v>
      </c>
      <c r="G23" s="3">
        <f>IF($E23="","空卡",IF($F23="","单卡","正常"))</f>
        <v/>
      </c>
      <c r="H23" s="5">
        <f>IF($G23="正常",ROUND(($F23-$E23)*1440,0),"")</f>
        <v/>
      </c>
      <c r="I23" s="6">
        <f>IF($G23="正常",$H23/60,"")</f>
        <v/>
      </c>
      <c r="J23" s="7">
        <f>IF($G23="正常",ROUND($H23/30,0)/2,"")</f>
        <v/>
      </c>
      <c r="K23" s="7">
        <f>IF($G23="正常",MIN($J23,12),"")</f>
        <v/>
      </c>
      <c r="L23" s="7">
        <f>IF($G23="正常",MAX($J23-12,0),"")</f>
        <v/>
      </c>
    </row>
    <row r="24">
      <c r="A24" s="8" t="inlineStr">
        <is>
          <t>杨秀联</t>
        </is>
      </c>
      <c r="B24" s="8" t="inlineStr">
        <is>
          <t>8/23</t>
        </is>
      </c>
      <c r="C24" s="8" t="inlineStr">
        <is>
          <t>日</t>
        </is>
      </c>
      <c r="D24" s="8" t="inlineStr"/>
      <c r="E24" s="9" t="n"/>
      <c r="F24" s="9" t="n"/>
      <c r="G24" s="10">
        <f>IF($E24="","空卡",IF($F24="","单卡","正常"))</f>
        <v/>
      </c>
      <c r="H24" s="11">
        <f>IF($G24="正常",ROUND(($F24-$E24)*1440,0),"")</f>
        <v/>
      </c>
      <c r="I24" s="12">
        <f>IF($G24="正常",$H24/60,"")</f>
        <v/>
      </c>
      <c r="J24" s="13">
        <f>IF($G24="正常",ROUND($H24/30,0)/2,"")</f>
        <v/>
      </c>
      <c r="K24" s="13">
        <f>IF($G24="正常",MIN($J24,12),"")</f>
        <v/>
      </c>
      <c r="L24" s="13">
        <f>IF($G24="正常",MAX($J24-12,0),"")</f>
        <v/>
      </c>
    </row>
    <row r="25">
      <c r="A25" s="3" t="inlineStr">
        <is>
          <t>杨秀联</t>
        </is>
      </c>
      <c r="B25" s="3" t="inlineStr">
        <is>
          <t>8/24</t>
        </is>
      </c>
      <c r="C25" s="3" t="inlineStr">
        <is>
          <t>一</t>
        </is>
      </c>
      <c r="D25" s="3" t="inlineStr">
        <is>
          <t>06:58 17:03</t>
        </is>
      </c>
      <c r="E25" s="4" t="n">
        <v>0.2902777777777778</v>
      </c>
      <c r="F25" s="4" t="n">
        <v>0.7104166666666667</v>
      </c>
      <c r="G25" s="3">
        <f>IF($E25="","空卡",IF($F25="","单卡","正常"))</f>
        <v/>
      </c>
      <c r="H25" s="5">
        <f>IF($G25="正常",ROUND(($F25-$E25)*1440,0),"")</f>
        <v/>
      </c>
      <c r="I25" s="6">
        <f>IF($G25="正常",$H25/60,"")</f>
        <v/>
      </c>
      <c r="J25" s="7">
        <f>IF($G25="正常",ROUND($H25/30,0)/2,"")</f>
        <v/>
      </c>
      <c r="K25" s="7">
        <f>IF($G25="正常",MIN($J25,12),"")</f>
        <v/>
      </c>
      <c r="L25" s="7">
        <f>IF($G25="正常",MAX($J25-12,0),"")</f>
        <v/>
      </c>
    </row>
    <row r="26">
      <c r="A26" s="3" t="inlineStr">
        <is>
          <t>杨秀联</t>
        </is>
      </c>
      <c r="B26" s="3" t="inlineStr">
        <is>
          <t>8/25</t>
        </is>
      </c>
      <c r="C26" s="3" t="inlineStr">
        <is>
          <t>二</t>
        </is>
      </c>
      <c r="D26" s="3" t="inlineStr">
        <is>
          <t>07:58 18:37</t>
        </is>
      </c>
      <c r="E26" s="4" t="n">
        <v>0.3319444444444444</v>
      </c>
      <c r="F26" s="4" t="n">
        <v>0.7756944444444445</v>
      </c>
      <c r="G26" s="3">
        <f>IF($E26="","空卡",IF($F26="","单卡","正常"))</f>
        <v/>
      </c>
      <c r="H26" s="5">
        <f>IF($G26="正常",ROUND(($F26-$E26)*1440,0),"")</f>
        <v/>
      </c>
      <c r="I26" s="6">
        <f>IF($G26="正常",$H26/60,"")</f>
        <v/>
      </c>
      <c r="J26" s="7">
        <f>IF($G26="正常",ROUND($H26/30,0)/2,"")</f>
        <v/>
      </c>
      <c r="K26" s="7">
        <f>IF($G26="正常",MIN($J26,12),"")</f>
        <v/>
      </c>
      <c r="L26" s="7">
        <f>IF($G26="正常",MAX($J26-12,0),"")</f>
        <v/>
      </c>
    </row>
    <row r="27">
      <c r="A27" s="3" t="inlineStr">
        <is>
          <t>杨秀联</t>
        </is>
      </c>
      <c r="B27" s="3" t="inlineStr">
        <is>
          <t>8/26</t>
        </is>
      </c>
      <c r="C27" s="3" t="inlineStr">
        <is>
          <t>三</t>
        </is>
      </c>
      <c r="D27" s="3" t="inlineStr">
        <is>
          <t>07:57 18:58</t>
        </is>
      </c>
      <c r="E27" s="4" t="n">
        <v>0.33125</v>
      </c>
      <c r="F27" s="4" t="n">
        <v>0.7902777777777777</v>
      </c>
      <c r="G27" s="3">
        <f>IF($E27="","空卡",IF($F27="","单卡","正常"))</f>
        <v/>
      </c>
      <c r="H27" s="5">
        <f>IF($G27="正常",ROUND(($F27-$E27)*1440,0),"")</f>
        <v/>
      </c>
      <c r="I27" s="6">
        <f>IF($G27="正常",$H27/60,"")</f>
        <v/>
      </c>
      <c r="J27" s="7">
        <f>IF($G27="正常",ROUND($H27/30,0)/2,"")</f>
        <v/>
      </c>
      <c r="K27" s="7">
        <f>IF($G27="正常",MIN($J27,12),"")</f>
        <v/>
      </c>
      <c r="L27" s="7">
        <f>IF($G27="正常",MAX($J27-12,0),"")</f>
        <v/>
      </c>
    </row>
    <row r="28">
      <c r="A28" s="3" t="inlineStr">
        <is>
          <t>杨秀联</t>
        </is>
      </c>
      <c r="B28" s="3" t="inlineStr">
        <is>
          <t>8/27</t>
        </is>
      </c>
      <c r="C28" s="3" t="inlineStr">
        <is>
          <t>四</t>
        </is>
      </c>
      <c r="D28" s="3" t="inlineStr">
        <is>
          <t>07:56 21:02</t>
        </is>
      </c>
      <c r="E28" s="4" t="n">
        <v>0.3305555555555555</v>
      </c>
      <c r="F28" s="4" t="n">
        <v>0.8763888888888889</v>
      </c>
      <c r="G28" s="3">
        <f>IF($E28="","空卡",IF($F28="","单卡","正常"))</f>
        <v/>
      </c>
      <c r="H28" s="5">
        <f>IF($G28="正常",ROUND(($F28-$E28)*1440,0),"")</f>
        <v/>
      </c>
      <c r="I28" s="6">
        <f>IF($G28="正常",$H28/60,"")</f>
        <v/>
      </c>
      <c r="J28" s="7">
        <f>IF($G28="正常",ROUND($H28/30,0)/2,"")</f>
        <v/>
      </c>
      <c r="K28" s="7">
        <f>IF($G28="正常",MIN($J28,12),"")</f>
        <v/>
      </c>
      <c r="L28" s="7">
        <f>IF($G28="正常",MAX($J28-12,0),"")</f>
        <v/>
      </c>
    </row>
    <row r="29">
      <c r="A29" s="3" t="inlineStr">
        <is>
          <t>杨秀联</t>
        </is>
      </c>
      <c r="B29" s="3" t="inlineStr">
        <is>
          <t>8/28</t>
        </is>
      </c>
      <c r="C29" s="3" t="inlineStr">
        <is>
          <t>五</t>
        </is>
      </c>
      <c r="D29" s="3" t="inlineStr">
        <is>
          <t>07:57 21:03</t>
        </is>
      </c>
      <c r="E29" s="4" t="n">
        <v>0.33125</v>
      </c>
      <c r="F29" s="4" t="n">
        <v>0.8770833333333333</v>
      </c>
      <c r="G29" s="3">
        <f>IF($E29="","空卡",IF($F29="","单卡","正常"))</f>
        <v/>
      </c>
      <c r="H29" s="5">
        <f>IF($G29="正常",ROUND(($F29-$E29)*1440,0),"")</f>
        <v/>
      </c>
      <c r="I29" s="6">
        <f>IF($G29="正常",$H29/60,"")</f>
        <v/>
      </c>
      <c r="J29" s="7">
        <f>IF($G29="正常",ROUND($H29/30,0)/2,"")</f>
        <v/>
      </c>
      <c r="K29" s="7">
        <f>IF($G29="正常",MIN($J29,12),"")</f>
        <v/>
      </c>
      <c r="L29" s="7">
        <f>IF($G29="正常",MAX($J29-12,0),"")</f>
        <v/>
      </c>
    </row>
    <row r="30">
      <c r="A30" s="3" t="inlineStr">
        <is>
          <t>杨秀联</t>
        </is>
      </c>
      <c r="B30" s="3" t="inlineStr">
        <is>
          <t>8/29</t>
        </is>
      </c>
      <c r="C30" s="3" t="inlineStr">
        <is>
          <t>六</t>
        </is>
      </c>
      <c r="D30" s="3" t="inlineStr">
        <is>
          <t>07:57 22:34</t>
        </is>
      </c>
      <c r="E30" s="4" t="n">
        <v>0.33125</v>
      </c>
      <c r="F30" s="4" t="n">
        <v>0.9402777777777778</v>
      </c>
      <c r="G30" s="3">
        <f>IF($E30="","空卡",IF($F30="","单卡","正常"))</f>
        <v/>
      </c>
      <c r="H30" s="5">
        <f>IF($G30="正常",ROUND(($F30-$E30)*1440,0),"")</f>
        <v/>
      </c>
      <c r="I30" s="6">
        <f>IF($G30="正常",$H30/60,"")</f>
        <v/>
      </c>
      <c r="J30" s="7">
        <f>IF($G30="正常",ROUND($H30/30,0)/2,"")</f>
        <v/>
      </c>
      <c r="K30" s="7">
        <f>IF($G30="正常",MIN($J30,12),"")</f>
        <v/>
      </c>
      <c r="L30" s="7">
        <f>IF($G30="正常",MAX($J30-12,0),"")</f>
        <v/>
      </c>
    </row>
    <row r="31">
      <c r="A31" s="3" t="inlineStr">
        <is>
          <t>杨秀联</t>
        </is>
      </c>
      <c r="B31" s="3" t="inlineStr">
        <is>
          <t>8/30</t>
        </is>
      </c>
      <c r="C31" s="3" t="inlineStr">
        <is>
          <t>日</t>
        </is>
      </c>
      <c r="D31" s="3" t="inlineStr">
        <is>
          <t>07:55 18:44</t>
        </is>
      </c>
      <c r="E31" s="4" t="n">
        <v>0.3298611111111111</v>
      </c>
      <c r="F31" s="4" t="n">
        <v>0.7805555555555556</v>
      </c>
      <c r="G31" s="3">
        <f>IF($E31="","空卡",IF($F31="","单卡","正常"))</f>
        <v/>
      </c>
      <c r="H31" s="5">
        <f>IF($G31="正常",ROUND(($F31-$E31)*1440,0),"")</f>
        <v/>
      </c>
      <c r="I31" s="6">
        <f>IF($G31="正常",$H31/60,"")</f>
        <v/>
      </c>
      <c r="J31" s="7">
        <f>IF($G31="正常",ROUND($H31/30,0)/2,"")</f>
        <v/>
      </c>
      <c r="K31" s="7">
        <f>IF($G31="正常",MIN($J31,12),"")</f>
        <v/>
      </c>
      <c r="L31" s="7">
        <f>IF($G31="正常",MAX($J31-12,0),"")</f>
        <v/>
      </c>
    </row>
    <row r="32">
      <c r="A32" s="8" t="inlineStr">
        <is>
          <t>杨秀联</t>
        </is>
      </c>
      <c r="B32" s="8" t="inlineStr">
        <is>
          <t>8/31</t>
        </is>
      </c>
      <c r="C32" s="8" t="inlineStr">
        <is>
          <t>一</t>
        </is>
      </c>
      <c r="D32" s="8" t="inlineStr"/>
      <c r="E32" s="9" t="n"/>
      <c r="F32" s="9" t="n"/>
      <c r="G32" s="10">
        <f>IF($E32="","空卡",IF($F32="","单卡","正常"))</f>
        <v/>
      </c>
      <c r="H32" s="11">
        <f>IF($G32="正常",ROUND(($F32-$E32)*1440,0),"")</f>
        <v/>
      </c>
      <c r="I32" s="12">
        <f>IF($G32="正常",$H32/60,"")</f>
        <v/>
      </c>
      <c r="J32" s="13">
        <f>IF($G32="正常",ROUND($H32/30,0)/2,"")</f>
        <v/>
      </c>
      <c r="K32" s="13">
        <f>IF($G32="正常",MIN($J32,12),"")</f>
        <v/>
      </c>
      <c r="L32" s="13">
        <f>IF($G32="正常",MAX($J32-12,0),"")</f>
        <v/>
      </c>
    </row>
    <row r="33">
      <c r="A33" s="3" t="inlineStr">
        <is>
          <t>宋龙元</t>
        </is>
      </c>
      <c r="B33" s="3" t="inlineStr">
        <is>
          <t>8/1</t>
        </is>
      </c>
      <c r="C33" s="3" t="inlineStr">
        <is>
          <t>六</t>
        </is>
      </c>
      <c r="D33" s="3" t="inlineStr">
        <is>
          <t>07:57 17:01</t>
        </is>
      </c>
      <c r="E33" s="4" t="n">
        <v>0.33125</v>
      </c>
      <c r="F33" s="4" t="n">
        <v>0.7090277777777778</v>
      </c>
      <c r="G33" s="3">
        <f>IF($E33="","空卡",IF($F33="","单卡","正常"))</f>
        <v/>
      </c>
      <c r="H33" s="5">
        <f>IF($G33="正常",ROUND(($F33-$E33)*1440,0),"")</f>
        <v/>
      </c>
      <c r="I33" s="6">
        <f>IF($G33="正常",$H33/60,"")</f>
        <v/>
      </c>
      <c r="J33" s="7">
        <f>IF($G33="正常",ROUND($H33/30,0)/2,"")</f>
        <v/>
      </c>
      <c r="K33" s="7">
        <f>IF($G33="正常",MIN($J33,12),"")</f>
        <v/>
      </c>
      <c r="L33" s="7">
        <f>IF($G33="正常",MAX($J33-12,0),"")</f>
        <v/>
      </c>
    </row>
    <row r="34">
      <c r="A34" s="3" t="inlineStr">
        <is>
          <t>宋龙元</t>
        </is>
      </c>
      <c r="B34" s="3" t="inlineStr">
        <is>
          <t>8/2</t>
        </is>
      </c>
      <c r="C34" s="3" t="inlineStr">
        <is>
          <t>日</t>
        </is>
      </c>
      <c r="D34" s="3" t="inlineStr">
        <is>
          <t>07:57 15:00</t>
        </is>
      </c>
      <c r="E34" s="4" t="n">
        <v>0.33125</v>
      </c>
      <c r="F34" s="4" t="n">
        <v>0.625</v>
      </c>
      <c r="G34" s="3">
        <f>IF($E34="","空卡",IF($F34="","单卡","正常"))</f>
        <v/>
      </c>
      <c r="H34" s="5">
        <f>IF($G34="正常",ROUND(($F34-$E34)*1440,0),"")</f>
        <v/>
      </c>
      <c r="I34" s="6">
        <f>IF($G34="正常",$H34/60,"")</f>
        <v/>
      </c>
      <c r="J34" s="7">
        <f>IF($G34="正常",ROUND($H34/30,0)/2,"")</f>
        <v/>
      </c>
      <c r="K34" s="7">
        <f>IF($G34="正常",MIN($J34,12),"")</f>
        <v/>
      </c>
      <c r="L34" s="7">
        <f>IF($G34="正常",MAX($J34-12,0),"")</f>
        <v/>
      </c>
    </row>
    <row r="35">
      <c r="A35" s="3" t="inlineStr">
        <is>
          <t>宋龙元</t>
        </is>
      </c>
      <c r="B35" s="3" t="inlineStr">
        <is>
          <t>8/3</t>
        </is>
      </c>
      <c r="C35" s="3" t="inlineStr">
        <is>
          <t>一</t>
        </is>
      </c>
      <c r="D35" s="3" t="inlineStr">
        <is>
          <t>08:27 15:36</t>
        </is>
      </c>
      <c r="E35" s="4" t="n">
        <v>0.3520833333333334</v>
      </c>
      <c r="F35" s="4" t="n">
        <v>0.65</v>
      </c>
      <c r="G35" s="3">
        <f>IF($E35="","空卡",IF($F35="","单卡","正常"))</f>
        <v/>
      </c>
      <c r="H35" s="5">
        <f>IF($G35="正常",ROUND(($F35-$E35)*1440,0),"")</f>
        <v/>
      </c>
      <c r="I35" s="6">
        <f>IF($G35="正常",$H35/60,"")</f>
        <v/>
      </c>
      <c r="J35" s="7">
        <f>IF($G35="正常",ROUND($H35/30,0)/2,"")</f>
        <v/>
      </c>
      <c r="K35" s="7">
        <f>IF($G35="正常",MIN($J35,12),"")</f>
        <v/>
      </c>
      <c r="L35" s="7">
        <f>IF($G35="正常",MAX($J35-12,0),"")</f>
        <v/>
      </c>
    </row>
    <row r="36">
      <c r="A36" s="3" t="inlineStr">
        <is>
          <t>宋龙元</t>
        </is>
      </c>
      <c r="B36" s="3" t="inlineStr">
        <is>
          <t>8/4</t>
        </is>
      </c>
      <c r="C36" s="3" t="inlineStr">
        <is>
          <t>二</t>
        </is>
      </c>
      <c r="D36" s="3" t="inlineStr">
        <is>
          <t>08:57 19:31</t>
        </is>
      </c>
      <c r="E36" s="4" t="n">
        <v>0.3729166666666667</v>
      </c>
      <c r="F36" s="4" t="n">
        <v>0.8131944444444444</v>
      </c>
      <c r="G36" s="3">
        <f>IF($E36="","空卡",IF($F36="","单卡","正常"))</f>
        <v/>
      </c>
      <c r="H36" s="5">
        <f>IF($G36="正常",ROUND(($F36-$E36)*1440,0),"")</f>
        <v/>
      </c>
      <c r="I36" s="6">
        <f>IF($G36="正常",$H36/60,"")</f>
        <v/>
      </c>
      <c r="J36" s="7">
        <f>IF($G36="正常",ROUND($H36/30,0)/2,"")</f>
        <v/>
      </c>
      <c r="K36" s="7">
        <f>IF($G36="正常",MIN($J36,12),"")</f>
        <v/>
      </c>
      <c r="L36" s="7">
        <f>IF($G36="正常",MAX($J36-12,0),"")</f>
        <v/>
      </c>
    </row>
    <row r="37">
      <c r="A37" s="3" t="inlineStr">
        <is>
          <t>宋龙元</t>
        </is>
      </c>
      <c r="B37" s="3" t="inlineStr">
        <is>
          <t>8/5</t>
        </is>
      </c>
      <c r="C37" s="3" t="inlineStr">
        <is>
          <t>三</t>
        </is>
      </c>
      <c r="D37" s="3" t="inlineStr">
        <is>
          <t>09:58 19:37</t>
        </is>
      </c>
      <c r="E37" s="4" t="n">
        <v>0.4152777777777778</v>
      </c>
      <c r="F37" s="4" t="n">
        <v>0.8173611111111111</v>
      </c>
      <c r="G37" s="3">
        <f>IF($E37="","空卡",IF($F37="","单卡","正常"))</f>
        <v/>
      </c>
      <c r="H37" s="5">
        <f>IF($G37="正常",ROUND(($F37-$E37)*1440,0),"")</f>
        <v/>
      </c>
      <c r="I37" s="6">
        <f>IF($G37="正常",$H37/60,"")</f>
        <v/>
      </c>
      <c r="J37" s="7">
        <f>IF($G37="正常",ROUND($H37/30,0)/2,"")</f>
        <v/>
      </c>
      <c r="K37" s="7">
        <f>IF($G37="正常",MIN($J37,12),"")</f>
        <v/>
      </c>
      <c r="L37" s="7">
        <f>IF($G37="正常",MAX($J37-12,0),"")</f>
        <v/>
      </c>
    </row>
    <row r="38">
      <c r="A38" s="3" t="inlineStr">
        <is>
          <t>宋龙元</t>
        </is>
      </c>
      <c r="B38" s="3" t="inlineStr">
        <is>
          <t>8/6</t>
        </is>
      </c>
      <c r="C38" s="3" t="inlineStr">
        <is>
          <t>四</t>
        </is>
      </c>
      <c r="D38" s="3" t="inlineStr">
        <is>
          <t>08:59 19:01</t>
        </is>
      </c>
      <c r="E38" s="4" t="n">
        <v>0.3743055555555556</v>
      </c>
      <c r="F38" s="4" t="n">
        <v>0.7923611111111111</v>
      </c>
      <c r="G38" s="3">
        <f>IF($E38="","空卡",IF($F38="","单卡","正常"))</f>
        <v/>
      </c>
      <c r="H38" s="5">
        <f>IF($G38="正常",ROUND(($F38-$E38)*1440,0),"")</f>
        <v/>
      </c>
      <c r="I38" s="6">
        <f>IF($G38="正常",$H38/60,"")</f>
        <v/>
      </c>
      <c r="J38" s="7">
        <f>IF($G38="正常",ROUND($H38/30,0)/2,"")</f>
        <v/>
      </c>
      <c r="K38" s="7">
        <f>IF($G38="正常",MIN($J38,12),"")</f>
        <v/>
      </c>
      <c r="L38" s="7">
        <f>IF($G38="正常",MAX($J38-12,0),"")</f>
        <v/>
      </c>
    </row>
    <row r="39">
      <c r="A39" s="3" t="inlineStr">
        <is>
          <t>宋龙元</t>
        </is>
      </c>
      <c r="B39" s="3" t="inlineStr">
        <is>
          <t>8/7</t>
        </is>
      </c>
      <c r="C39" s="3" t="inlineStr">
        <is>
          <t>五</t>
        </is>
      </c>
      <c r="D39" s="3" t="inlineStr">
        <is>
          <t>07:54 19:30</t>
        </is>
      </c>
      <c r="E39" s="4" t="n">
        <v>0.3291666666666667</v>
      </c>
      <c r="F39" s="4" t="n">
        <v>0.8125</v>
      </c>
      <c r="G39" s="3">
        <f>IF($E39="","空卡",IF($F39="","单卡","正常"))</f>
        <v/>
      </c>
      <c r="H39" s="5">
        <f>IF($G39="正常",ROUND(($F39-$E39)*1440,0),"")</f>
        <v/>
      </c>
      <c r="I39" s="6">
        <f>IF($G39="正常",$H39/60,"")</f>
        <v/>
      </c>
      <c r="J39" s="7">
        <f>IF($G39="正常",ROUND($H39/30,0)/2,"")</f>
        <v/>
      </c>
      <c r="K39" s="7">
        <f>IF($G39="正常",MIN($J39,12),"")</f>
        <v/>
      </c>
      <c r="L39" s="7">
        <f>IF($G39="正常",MAX($J39-12,0),"")</f>
        <v/>
      </c>
    </row>
    <row r="40">
      <c r="A40" s="3" t="inlineStr">
        <is>
          <t>宋龙元</t>
        </is>
      </c>
      <c r="B40" s="3" t="inlineStr">
        <is>
          <t>8/8</t>
        </is>
      </c>
      <c r="C40" s="3" t="inlineStr">
        <is>
          <t>六</t>
        </is>
      </c>
      <c r="D40" s="3" t="inlineStr">
        <is>
          <t>08:19 19:39</t>
        </is>
      </c>
      <c r="E40" s="4" t="n">
        <v>0.3465277777777778</v>
      </c>
      <c r="F40" s="4" t="n">
        <v>0.81875</v>
      </c>
      <c r="G40" s="3">
        <f>IF($E40="","空卡",IF($F40="","单卡","正常"))</f>
        <v/>
      </c>
      <c r="H40" s="5">
        <f>IF($G40="正常",ROUND(($F40-$E40)*1440,0),"")</f>
        <v/>
      </c>
      <c r="I40" s="6">
        <f>IF($G40="正常",$H40/60,"")</f>
        <v/>
      </c>
      <c r="J40" s="7">
        <f>IF($G40="正常",ROUND($H40/30,0)/2,"")</f>
        <v/>
      </c>
      <c r="K40" s="7">
        <f>IF($G40="正常",MIN($J40,12),"")</f>
        <v/>
      </c>
      <c r="L40" s="7">
        <f>IF($G40="正常",MAX($J40-12,0),"")</f>
        <v/>
      </c>
    </row>
    <row r="41">
      <c r="A41" s="8" t="inlineStr">
        <is>
          <t>宋龙元</t>
        </is>
      </c>
      <c r="B41" s="8" t="inlineStr">
        <is>
          <t>8/9</t>
        </is>
      </c>
      <c r="C41" s="8" t="inlineStr">
        <is>
          <t>日</t>
        </is>
      </c>
      <c r="D41" s="8" t="inlineStr"/>
      <c r="E41" s="9" t="n"/>
      <c r="F41" s="9" t="n"/>
      <c r="G41" s="10">
        <f>IF($E41="","空卡",IF($F41="","单卡","正常"))</f>
        <v/>
      </c>
      <c r="H41" s="11">
        <f>IF($G41="正常",ROUND(($F41-$E41)*1440,0),"")</f>
        <v/>
      </c>
      <c r="I41" s="12">
        <f>IF($G41="正常",$H41/60,"")</f>
        <v/>
      </c>
      <c r="J41" s="13">
        <f>IF($G41="正常",ROUND($H41/30,0)/2,"")</f>
        <v/>
      </c>
      <c r="K41" s="13">
        <f>IF($G41="正常",MIN($J41,12),"")</f>
        <v/>
      </c>
      <c r="L41" s="13">
        <f>IF($G41="正常",MAX($J41-12,0),"")</f>
        <v/>
      </c>
    </row>
    <row r="42">
      <c r="A42" s="3" t="inlineStr">
        <is>
          <t>宋龙元</t>
        </is>
      </c>
      <c r="B42" s="3" t="inlineStr">
        <is>
          <t>8/10</t>
        </is>
      </c>
      <c r="C42" s="3" t="inlineStr">
        <is>
          <t>一</t>
        </is>
      </c>
      <c r="D42" s="3" t="inlineStr">
        <is>
          <t>08:25 19:54</t>
        </is>
      </c>
      <c r="E42" s="4" t="n">
        <v>0.3506944444444444</v>
      </c>
      <c r="F42" s="4" t="n">
        <v>0.8291666666666667</v>
      </c>
      <c r="G42" s="3">
        <f>IF($E42="","空卡",IF($F42="","单卡","正常"))</f>
        <v/>
      </c>
      <c r="H42" s="5">
        <f>IF($G42="正常",ROUND(($F42-$E42)*1440,0),"")</f>
        <v/>
      </c>
      <c r="I42" s="6">
        <f>IF($G42="正常",$H42/60,"")</f>
        <v/>
      </c>
      <c r="J42" s="7">
        <f>IF($G42="正常",ROUND($H42/30,0)/2,"")</f>
        <v/>
      </c>
      <c r="K42" s="7">
        <f>IF($G42="正常",MIN($J42,12),"")</f>
        <v/>
      </c>
      <c r="L42" s="7">
        <f>IF($G42="正常",MAX($J42-12,0),"")</f>
        <v/>
      </c>
    </row>
    <row r="43">
      <c r="A43" s="3" t="inlineStr">
        <is>
          <t>宋龙元</t>
        </is>
      </c>
      <c r="B43" s="3" t="inlineStr">
        <is>
          <t>8/11</t>
        </is>
      </c>
      <c r="C43" s="3" t="inlineStr">
        <is>
          <t>二</t>
        </is>
      </c>
      <c r="D43" s="3" t="inlineStr">
        <is>
          <t>08:27 18:10</t>
        </is>
      </c>
      <c r="E43" s="4" t="n">
        <v>0.3520833333333334</v>
      </c>
      <c r="F43" s="4" t="n">
        <v>0.7569444444444444</v>
      </c>
      <c r="G43" s="3">
        <f>IF($E43="","空卡",IF($F43="","单卡","正常"))</f>
        <v/>
      </c>
      <c r="H43" s="5">
        <f>IF($G43="正常",ROUND(($F43-$E43)*1440,0),"")</f>
        <v/>
      </c>
      <c r="I43" s="6">
        <f>IF($G43="正常",$H43/60,"")</f>
        <v/>
      </c>
      <c r="J43" s="7">
        <f>IF($G43="正常",ROUND($H43/30,0)/2,"")</f>
        <v/>
      </c>
      <c r="K43" s="7">
        <f>IF($G43="正常",MIN($J43,12),"")</f>
        <v/>
      </c>
      <c r="L43" s="7">
        <f>IF($G43="正常",MAX($J43-12,0),"")</f>
        <v/>
      </c>
    </row>
    <row r="44">
      <c r="A44" s="3" t="inlineStr">
        <is>
          <t>宋龙元</t>
        </is>
      </c>
      <c r="B44" s="3" t="inlineStr">
        <is>
          <t>8/12</t>
        </is>
      </c>
      <c r="C44" s="3" t="inlineStr">
        <is>
          <t>三</t>
        </is>
      </c>
      <c r="D44" s="3" t="inlineStr">
        <is>
          <t>09:54 18:34</t>
        </is>
      </c>
      <c r="E44" s="4" t="n">
        <v>0.4125</v>
      </c>
      <c r="F44" s="4" t="n">
        <v>0.7736111111111111</v>
      </c>
      <c r="G44" s="3">
        <f>IF($E44="","空卡",IF($F44="","单卡","正常"))</f>
        <v/>
      </c>
      <c r="H44" s="5">
        <f>IF($G44="正常",ROUND(($F44-$E44)*1440,0),"")</f>
        <v/>
      </c>
      <c r="I44" s="6">
        <f>IF($G44="正常",$H44/60,"")</f>
        <v/>
      </c>
      <c r="J44" s="7">
        <f>IF($G44="正常",ROUND($H44/30,0)/2,"")</f>
        <v/>
      </c>
      <c r="K44" s="7">
        <f>IF($G44="正常",MIN($J44,12),"")</f>
        <v/>
      </c>
      <c r="L44" s="7">
        <f>IF($G44="正常",MAX($J44-12,0),"")</f>
        <v/>
      </c>
    </row>
    <row r="45">
      <c r="A45" s="3" t="inlineStr">
        <is>
          <t>宋龙元</t>
        </is>
      </c>
      <c r="B45" s="3" t="inlineStr">
        <is>
          <t>8/13</t>
        </is>
      </c>
      <c r="C45" s="3" t="inlineStr">
        <is>
          <t>四</t>
        </is>
      </c>
      <c r="D45" s="3" t="inlineStr">
        <is>
          <t>09:59 19:04</t>
        </is>
      </c>
      <c r="E45" s="4" t="n">
        <v>0.4159722222222222</v>
      </c>
      <c r="F45" s="4" t="n">
        <v>0.7944444444444444</v>
      </c>
      <c r="G45" s="3">
        <f>IF($E45="","空卡",IF($F45="","单卡","正常"))</f>
        <v/>
      </c>
      <c r="H45" s="5">
        <f>IF($G45="正常",ROUND(($F45-$E45)*1440,0),"")</f>
        <v/>
      </c>
      <c r="I45" s="6">
        <f>IF($G45="正常",$H45/60,"")</f>
        <v/>
      </c>
      <c r="J45" s="7">
        <f>IF($G45="正常",ROUND($H45/30,0)/2,"")</f>
        <v/>
      </c>
      <c r="K45" s="7">
        <f>IF($G45="正常",MIN($J45,12),"")</f>
        <v/>
      </c>
      <c r="L45" s="7">
        <f>IF($G45="正常",MAX($J45-12,0),"")</f>
        <v/>
      </c>
    </row>
    <row r="46">
      <c r="A46" s="3" t="inlineStr">
        <is>
          <t>宋龙元</t>
        </is>
      </c>
      <c r="B46" s="3" t="inlineStr">
        <is>
          <t>8/14</t>
        </is>
      </c>
      <c r="C46" s="3" t="inlineStr">
        <is>
          <t>五</t>
        </is>
      </c>
      <c r="D46" s="3" t="inlineStr">
        <is>
          <t>06:58 20:54</t>
        </is>
      </c>
      <c r="E46" s="4" t="n">
        <v>0.2902777777777778</v>
      </c>
      <c r="F46" s="4" t="n">
        <v>0.8708333333333333</v>
      </c>
      <c r="G46" s="3">
        <f>IF($E46="","空卡",IF($F46="","单卡","正常"))</f>
        <v/>
      </c>
      <c r="H46" s="5">
        <f>IF($G46="正常",ROUND(($F46-$E46)*1440,0),"")</f>
        <v/>
      </c>
      <c r="I46" s="6">
        <f>IF($G46="正常",$H46/60,"")</f>
        <v/>
      </c>
      <c r="J46" s="7">
        <f>IF($G46="正常",ROUND($H46/30,0)/2,"")</f>
        <v/>
      </c>
      <c r="K46" s="7">
        <f>IF($G46="正常",MIN($J46,12),"")</f>
        <v/>
      </c>
      <c r="L46" s="7">
        <f>IF($G46="正常",MAX($J46-12,0),"")</f>
        <v/>
      </c>
    </row>
    <row r="47">
      <c r="A47" s="3" t="inlineStr">
        <is>
          <t>宋龙元</t>
        </is>
      </c>
      <c r="B47" s="3" t="inlineStr">
        <is>
          <t>8/15</t>
        </is>
      </c>
      <c r="C47" s="3" t="inlineStr">
        <is>
          <t>六</t>
        </is>
      </c>
      <c r="D47" s="3" t="inlineStr">
        <is>
          <t>06:58 18:58</t>
        </is>
      </c>
      <c r="E47" s="4" t="n">
        <v>0.2902777777777778</v>
      </c>
      <c r="F47" s="4" t="n">
        <v>0.7902777777777777</v>
      </c>
      <c r="G47" s="3">
        <f>IF($E47="","空卡",IF($F47="","单卡","正常"))</f>
        <v/>
      </c>
      <c r="H47" s="5">
        <f>IF($G47="正常",ROUND(($F47-$E47)*1440,0),"")</f>
        <v/>
      </c>
      <c r="I47" s="6">
        <f>IF($G47="正常",$H47/60,"")</f>
        <v/>
      </c>
      <c r="J47" s="7">
        <f>IF($G47="正常",ROUND($H47/30,0)/2,"")</f>
        <v/>
      </c>
      <c r="K47" s="7">
        <f>IF($G47="正常",MIN($J47,12),"")</f>
        <v/>
      </c>
      <c r="L47" s="7">
        <f>IF($G47="正常",MAX($J47-12,0),"")</f>
        <v/>
      </c>
    </row>
    <row r="48">
      <c r="A48" s="8" t="inlineStr">
        <is>
          <t>宋龙元</t>
        </is>
      </c>
      <c r="B48" s="8" t="inlineStr">
        <is>
          <t>8/16</t>
        </is>
      </c>
      <c r="C48" s="8" t="inlineStr">
        <is>
          <t>日</t>
        </is>
      </c>
      <c r="D48" s="8" t="inlineStr"/>
      <c r="E48" s="9" t="n"/>
      <c r="F48" s="9" t="n"/>
      <c r="G48" s="10">
        <f>IF($E48="","空卡",IF($F48="","单卡","正常"))</f>
        <v/>
      </c>
      <c r="H48" s="11">
        <f>IF($G48="正常",ROUND(($F48-$E48)*1440,0),"")</f>
        <v/>
      </c>
      <c r="I48" s="12">
        <f>IF($G48="正常",$H48/60,"")</f>
        <v/>
      </c>
      <c r="J48" s="13">
        <f>IF($G48="正常",ROUND($H48/30,0)/2,"")</f>
        <v/>
      </c>
      <c r="K48" s="13">
        <f>IF($G48="正常",MIN($J48,12),"")</f>
        <v/>
      </c>
      <c r="L48" s="13">
        <f>IF($G48="正常",MAX($J48-12,0),"")</f>
        <v/>
      </c>
    </row>
    <row r="49">
      <c r="A49" s="3" t="inlineStr">
        <is>
          <t>宋龙元</t>
        </is>
      </c>
      <c r="B49" s="3" t="inlineStr">
        <is>
          <t>8/17</t>
        </is>
      </c>
      <c r="C49" s="3" t="inlineStr">
        <is>
          <t>一</t>
        </is>
      </c>
      <c r="D49" s="3" t="inlineStr">
        <is>
          <t>07:56 19:58</t>
        </is>
      </c>
      <c r="E49" s="4" t="n">
        <v>0.3305555555555555</v>
      </c>
      <c r="F49" s="4" t="n">
        <v>0.8319444444444445</v>
      </c>
      <c r="G49" s="3">
        <f>IF($E49="","空卡",IF($F49="","单卡","正常"))</f>
        <v/>
      </c>
      <c r="H49" s="5">
        <f>IF($G49="正常",ROUND(($F49-$E49)*1440,0),"")</f>
        <v/>
      </c>
      <c r="I49" s="6">
        <f>IF($G49="正常",$H49/60,"")</f>
        <v/>
      </c>
      <c r="J49" s="7">
        <f>IF($G49="正常",ROUND($H49/30,0)/2,"")</f>
        <v/>
      </c>
      <c r="K49" s="7">
        <f>IF($G49="正常",MIN($J49,12),"")</f>
        <v/>
      </c>
      <c r="L49" s="7">
        <f>IF($G49="正常",MAX($J49-12,0),"")</f>
        <v/>
      </c>
    </row>
    <row r="50">
      <c r="A50" s="3" t="inlineStr">
        <is>
          <t>宋龙元</t>
        </is>
      </c>
      <c r="B50" s="3" t="inlineStr">
        <is>
          <t>8/18</t>
        </is>
      </c>
      <c r="C50" s="3" t="inlineStr">
        <is>
          <t>二</t>
        </is>
      </c>
      <c r="D50" s="3" t="inlineStr">
        <is>
          <t>07:59 18:56</t>
        </is>
      </c>
      <c r="E50" s="4" t="n">
        <v>0.3326388888888889</v>
      </c>
      <c r="F50" s="4" t="n">
        <v>0.7888888888888889</v>
      </c>
      <c r="G50" s="3">
        <f>IF($E50="","空卡",IF($F50="","单卡","正常"))</f>
        <v/>
      </c>
      <c r="H50" s="5">
        <f>IF($G50="正常",ROUND(($F50-$E50)*1440,0),"")</f>
        <v/>
      </c>
      <c r="I50" s="6">
        <f>IF($G50="正常",$H50/60,"")</f>
        <v/>
      </c>
      <c r="J50" s="7">
        <f>IF($G50="正常",ROUND($H50/30,0)/2,"")</f>
        <v/>
      </c>
      <c r="K50" s="7">
        <f>IF($G50="正常",MIN($J50,12),"")</f>
        <v/>
      </c>
      <c r="L50" s="7">
        <f>IF($G50="正常",MAX($J50-12,0),"")</f>
        <v/>
      </c>
    </row>
    <row r="51">
      <c r="A51" s="3" t="inlineStr">
        <is>
          <t>宋龙元</t>
        </is>
      </c>
      <c r="B51" s="3" t="inlineStr">
        <is>
          <t>8/19</t>
        </is>
      </c>
      <c r="C51" s="3" t="inlineStr">
        <is>
          <t>三</t>
        </is>
      </c>
      <c r="D51" s="3" t="inlineStr">
        <is>
          <t>08:59 20:29</t>
        </is>
      </c>
      <c r="E51" s="4" t="n">
        <v>0.3743055555555556</v>
      </c>
      <c r="F51" s="4" t="n">
        <v>0.8534722222222222</v>
      </c>
      <c r="G51" s="3">
        <f>IF($E51="","空卡",IF($F51="","单卡","正常"))</f>
        <v/>
      </c>
      <c r="H51" s="5">
        <f>IF($G51="正常",ROUND(($F51-$E51)*1440,0),"")</f>
        <v/>
      </c>
      <c r="I51" s="6">
        <f>IF($G51="正常",$H51/60,"")</f>
        <v/>
      </c>
      <c r="J51" s="7">
        <f>IF($G51="正常",ROUND($H51/30,0)/2,"")</f>
        <v/>
      </c>
      <c r="K51" s="7">
        <f>IF($G51="正常",MIN($J51,12),"")</f>
        <v/>
      </c>
      <c r="L51" s="7">
        <f>IF($G51="正常",MAX($J51-12,0),"")</f>
        <v/>
      </c>
    </row>
    <row r="52">
      <c r="A52" s="3" t="inlineStr">
        <is>
          <t>宋龙元</t>
        </is>
      </c>
      <c r="B52" s="3" t="inlineStr">
        <is>
          <t>8/20</t>
        </is>
      </c>
      <c r="C52" s="3" t="inlineStr">
        <is>
          <t>四</t>
        </is>
      </c>
      <c r="D52" s="3" t="inlineStr">
        <is>
          <t>08:29 19:57</t>
        </is>
      </c>
      <c r="E52" s="4" t="n">
        <v>0.3534722222222222</v>
      </c>
      <c r="F52" s="4" t="n">
        <v>0.83125</v>
      </c>
      <c r="G52" s="3">
        <f>IF($E52="","空卡",IF($F52="","单卡","正常"))</f>
        <v/>
      </c>
      <c r="H52" s="5">
        <f>IF($G52="正常",ROUND(($F52-$E52)*1440,0),"")</f>
        <v/>
      </c>
      <c r="I52" s="6">
        <f>IF($G52="正常",$H52/60,"")</f>
        <v/>
      </c>
      <c r="J52" s="7">
        <f>IF($G52="正常",ROUND($H52/30,0)/2,"")</f>
        <v/>
      </c>
      <c r="K52" s="7">
        <f>IF($G52="正常",MIN($J52,12),"")</f>
        <v/>
      </c>
      <c r="L52" s="7">
        <f>IF($G52="正常",MAX($J52-12,0),"")</f>
        <v/>
      </c>
    </row>
    <row r="53">
      <c r="A53" s="3" t="inlineStr">
        <is>
          <t>宋龙元</t>
        </is>
      </c>
      <c r="B53" s="3" t="inlineStr">
        <is>
          <t>8/21</t>
        </is>
      </c>
      <c r="C53" s="3" t="inlineStr">
        <is>
          <t>五</t>
        </is>
      </c>
      <c r="D53" s="3" t="inlineStr">
        <is>
          <t>06:55 19:02</t>
        </is>
      </c>
      <c r="E53" s="4" t="n">
        <v>0.2881944444444444</v>
      </c>
      <c r="F53" s="4" t="n">
        <v>0.7930555555555555</v>
      </c>
      <c r="G53" s="3">
        <f>IF($E53="","空卡",IF($F53="","单卡","正常"))</f>
        <v/>
      </c>
      <c r="H53" s="5">
        <f>IF($G53="正常",ROUND(($F53-$E53)*1440,0),"")</f>
        <v/>
      </c>
      <c r="I53" s="6">
        <f>IF($G53="正常",$H53/60,"")</f>
        <v/>
      </c>
      <c r="J53" s="7">
        <f>IF($G53="正常",ROUND($H53/30,0)/2,"")</f>
        <v/>
      </c>
      <c r="K53" s="7">
        <f>IF($G53="正常",MIN($J53,12),"")</f>
        <v/>
      </c>
      <c r="L53" s="7">
        <f>IF($G53="正常",MAX($J53-12,0),"")</f>
        <v/>
      </c>
    </row>
    <row r="54">
      <c r="A54" s="3" t="inlineStr">
        <is>
          <t>宋龙元</t>
        </is>
      </c>
      <c r="B54" s="3" t="inlineStr">
        <is>
          <t>8/22</t>
        </is>
      </c>
      <c r="C54" s="3" t="inlineStr">
        <is>
          <t>六</t>
        </is>
      </c>
      <c r="D54" s="3" t="inlineStr">
        <is>
          <t>06:58 18:30</t>
        </is>
      </c>
      <c r="E54" s="4" t="n">
        <v>0.2902777777777778</v>
      </c>
      <c r="F54" s="4" t="n">
        <v>0.7708333333333334</v>
      </c>
      <c r="G54" s="3">
        <f>IF($E54="","空卡",IF($F54="","单卡","正常"))</f>
        <v/>
      </c>
      <c r="H54" s="5">
        <f>IF($G54="正常",ROUND(($F54-$E54)*1440,0),"")</f>
        <v/>
      </c>
      <c r="I54" s="6">
        <f>IF($G54="正常",$H54/60,"")</f>
        <v/>
      </c>
      <c r="J54" s="7">
        <f>IF($G54="正常",ROUND($H54/30,0)/2,"")</f>
        <v/>
      </c>
      <c r="K54" s="7">
        <f>IF($G54="正常",MIN($J54,12),"")</f>
        <v/>
      </c>
      <c r="L54" s="7">
        <f>IF($G54="正常",MAX($J54-12,0),"")</f>
        <v/>
      </c>
    </row>
    <row r="55">
      <c r="A55" s="8" t="inlineStr">
        <is>
          <t>宋龙元</t>
        </is>
      </c>
      <c r="B55" s="8" t="inlineStr">
        <is>
          <t>8/23</t>
        </is>
      </c>
      <c r="C55" s="8" t="inlineStr">
        <is>
          <t>日</t>
        </is>
      </c>
      <c r="D55" s="8" t="inlineStr"/>
      <c r="E55" s="9" t="n"/>
      <c r="F55" s="9" t="n"/>
      <c r="G55" s="10">
        <f>IF($E55="","空卡",IF($F55="","单卡","正常"))</f>
        <v/>
      </c>
      <c r="H55" s="11">
        <f>IF($G55="正常",ROUND(($F55-$E55)*1440,0),"")</f>
        <v/>
      </c>
      <c r="I55" s="12">
        <f>IF($G55="正常",$H55/60,"")</f>
        <v/>
      </c>
      <c r="J55" s="13">
        <f>IF($G55="正常",ROUND($H55/30,0)/2,"")</f>
        <v/>
      </c>
      <c r="K55" s="13">
        <f>IF($G55="正常",MIN($J55,12),"")</f>
        <v/>
      </c>
      <c r="L55" s="13">
        <f>IF($G55="正常",MAX($J55-12,0),"")</f>
        <v/>
      </c>
    </row>
    <row r="56">
      <c r="A56" s="3" t="inlineStr">
        <is>
          <t>宋龙元</t>
        </is>
      </c>
      <c r="B56" s="3" t="inlineStr">
        <is>
          <t>8/24</t>
        </is>
      </c>
      <c r="C56" s="3" t="inlineStr">
        <is>
          <t>一</t>
        </is>
      </c>
      <c r="D56" s="3" t="inlineStr">
        <is>
          <t>06:57 16:36</t>
        </is>
      </c>
      <c r="E56" s="4" t="n">
        <v>0.2895833333333334</v>
      </c>
      <c r="F56" s="4" t="n">
        <v>0.6916666666666667</v>
      </c>
      <c r="G56" s="3">
        <f>IF($E56="","空卡",IF($F56="","单卡","正常"))</f>
        <v/>
      </c>
      <c r="H56" s="5">
        <f>IF($G56="正常",ROUND(($F56-$E56)*1440,0),"")</f>
        <v/>
      </c>
      <c r="I56" s="6">
        <f>IF($G56="正常",$H56/60,"")</f>
        <v/>
      </c>
      <c r="J56" s="7">
        <f>IF($G56="正常",ROUND($H56/30,0)/2,"")</f>
        <v/>
      </c>
      <c r="K56" s="7">
        <f>IF($G56="正常",MIN($J56,12),"")</f>
        <v/>
      </c>
      <c r="L56" s="7">
        <f>IF($G56="正常",MAX($J56-12,0),"")</f>
        <v/>
      </c>
    </row>
    <row r="57">
      <c r="A57" s="3" t="inlineStr">
        <is>
          <t>宋龙元</t>
        </is>
      </c>
      <c r="B57" s="3" t="inlineStr">
        <is>
          <t>8/25</t>
        </is>
      </c>
      <c r="C57" s="3" t="inlineStr">
        <is>
          <t>二</t>
        </is>
      </c>
      <c r="D57" s="3" t="inlineStr">
        <is>
          <t>07:57 18:36</t>
        </is>
      </c>
      <c r="E57" s="4" t="n">
        <v>0.33125</v>
      </c>
      <c r="F57" s="4" t="n">
        <v>0.775</v>
      </c>
      <c r="G57" s="3">
        <f>IF($E57="","空卡",IF($F57="","单卡","正常"))</f>
        <v/>
      </c>
      <c r="H57" s="5">
        <f>IF($G57="正常",ROUND(($F57-$E57)*1440,0),"")</f>
        <v/>
      </c>
      <c r="I57" s="6">
        <f>IF($G57="正常",$H57/60,"")</f>
        <v/>
      </c>
      <c r="J57" s="7">
        <f>IF($G57="正常",ROUND($H57/30,0)/2,"")</f>
        <v/>
      </c>
      <c r="K57" s="7">
        <f>IF($G57="正常",MIN($J57,12),"")</f>
        <v/>
      </c>
      <c r="L57" s="7">
        <f>IF($G57="正常",MAX($J57-12,0),"")</f>
        <v/>
      </c>
    </row>
    <row r="58">
      <c r="A58" s="3" t="inlineStr">
        <is>
          <t>宋龙元</t>
        </is>
      </c>
      <c r="B58" s="3" t="inlineStr">
        <is>
          <t>8/26</t>
        </is>
      </c>
      <c r="C58" s="3" t="inlineStr">
        <is>
          <t>三</t>
        </is>
      </c>
      <c r="D58" s="3" t="inlineStr">
        <is>
          <t>07:56 18:55</t>
        </is>
      </c>
      <c r="E58" s="4" t="n">
        <v>0.3305555555555555</v>
      </c>
      <c r="F58" s="4" t="n">
        <v>0.7881944444444444</v>
      </c>
      <c r="G58" s="3">
        <f>IF($E58="","空卡",IF($F58="","单卡","正常"))</f>
        <v/>
      </c>
      <c r="H58" s="5">
        <f>IF($G58="正常",ROUND(($F58-$E58)*1440,0),"")</f>
        <v/>
      </c>
      <c r="I58" s="6">
        <f>IF($G58="正常",$H58/60,"")</f>
        <v/>
      </c>
      <c r="J58" s="7">
        <f>IF($G58="正常",ROUND($H58/30,0)/2,"")</f>
        <v/>
      </c>
      <c r="K58" s="7">
        <f>IF($G58="正常",MIN($J58,12),"")</f>
        <v/>
      </c>
      <c r="L58" s="7">
        <f>IF($G58="正常",MAX($J58-12,0),"")</f>
        <v/>
      </c>
    </row>
    <row r="59">
      <c r="A59" s="3" t="inlineStr">
        <is>
          <t>宋龙元</t>
        </is>
      </c>
      <c r="B59" s="3" t="inlineStr">
        <is>
          <t>8/27</t>
        </is>
      </c>
      <c r="C59" s="3" t="inlineStr">
        <is>
          <t>四</t>
        </is>
      </c>
      <c r="D59" s="3" t="inlineStr">
        <is>
          <t>07:57 19:04</t>
        </is>
      </c>
      <c r="E59" s="4" t="n">
        <v>0.33125</v>
      </c>
      <c r="F59" s="4" t="n">
        <v>0.7944444444444444</v>
      </c>
      <c r="G59" s="3">
        <f>IF($E59="","空卡",IF($F59="","单卡","正常"))</f>
        <v/>
      </c>
      <c r="H59" s="5">
        <f>IF($G59="正常",ROUND(($F59-$E59)*1440,0),"")</f>
        <v/>
      </c>
      <c r="I59" s="6">
        <f>IF($G59="正常",$H59/60,"")</f>
        <v/>
      </c>
      <c r="J59" s="7">
        <f>IF($G59="正常",ROUND($H59/30,0)/2,"")</f>
        <v/>
      </c>
      <c r="K59" s="7">
        <f>IF($G59="正常",MIN($J59,12),"")</f>
        <v/>
      </c>
      <c r="L59" s="7">
        <f>IF($G59="正常",MAX($J59-12,0),"")</f>
        <v/>
      </c>
    </row>
    <row r="60">
      <c r="A60" s="3" t="inlineStr">
        <is>
          <t>宋龙元</t>
        </is>
      </c>
      <c r="B60" s="3" t="inlineStr">
        <is>
          <t>8/28</t>
        </is>
      </c>
      <c r="C60" s="3" t="inlineStr">
        <is>
          <t>五</t>
        </is>
      </c>
      <c r="D60" s="3" t="inlineStr">
        <is>
          <t>07:57 18:28</t>
        </is>
      </c>
      <c r="E60" s="4" t="n">
        <v>0.33125</v>
      </c>
      <c r="F60" s="4" t="n">
        <v>0.7694444444444445</v>
      </c>
      <c r="G60" s="3">
        <f>IF($E60="","空卡",IF($F60="","单卡","正常"))</f>
        <v/>
      </c>
      <c r="H60" s="5">
        <f>IF($G60="正常",ROUND(($F60-$E60)*1440,0),"")</f>
        <v/>
      </c>
      <c r="I60" s="6">
        <f>IF($G60="正常",$H60/60,"")</f>
        <v/>
      </c>
      <c r="J60" s="7">
        <f>IF($G60="正常",ROUND($H60/30,0)/2,"")</f>
        <v/>
      </c>
      <c r="K60" s="7">
        <f>IF($G60="正常",MIN($J60,12),"")</f>
        <v/>
      </c>
      <c r="L60" s="7">
        <f>IF($G60="正常",MAX($J60-12,0),"")</f>
        <v/>
      </c>
    </row>
    <row r="61">
      <c r="A61" s="3" t="inlineStr">
        <is>
          <t>宋龙元</t>
        </is>
      </c>
      <c r="B61" s="3" t="inlineStr">
        <is>
          <t>8/29</t>
        </is>
      </c>
      <c r="C61" s="3" t="inlineStr">
        <is>
          <t>六</t>
        </is>
      </c>
      <c r="D61" s="3" t="inlineStr">
        <is>
          <t>07:57 21:58</t>
        </is>
      </c>
      <c r="E61" s="4" t="n">
        <v>0.33125</v>
      </c>
      <c r="F61" s="4" t="n">
        <v>0.9152777777777777</v>
      </c>
      <c r="G61" s="3">
        <f>IF($E61="","空卡",IF($F61="","单卡","正常"))</f>
        <v/>
      </c>
      <c r="H61" s="5">
        <f>IF($G61="正常",ROUND(($F61-$E61)*1440,0),"")</f>
        <v/>
      </c>
      <c r="I61" s="6">
        <f>IF($G61="正常",$H61/60,"")</f>
        <v/>
      </c>
      <c r="J61" s="7">
        <f>IF($G61="正常",ROUND($H61/30,0)/2,"")</f>
        <v/>
      </c>
      <c r="K61" s="7">
        <f>IF($G61="正常",MIN($J61,12),"")</f>
        <v/>
      </c>
      <c r="L61" s="7">
        <f>IF($G61="正常",MAX($J61-12,0),"")</f>
        <v/>
      </c>
    </row>
    <row r="62">
      <c r="A62" s="3" t="inlineStr">
        <is>
          <t>宋龙元</t>
        </is>
      </c>
      <c r="B62" s="3" t="inlineStr">
        <is>
          <t>8/30</t>
        </is>
      </c>
      <c r="C62" s="3" t="inlineStr">
        <is>
          <t>日</t>
        </is>
      </c>
      <c r="D62" s="3" t="inlineStr">
        <is>
          <t>07:56 18:41</t>
        </is>
      </c>
      <c r="E62" s="4" t="n">
        <v>0.3305555555555555</v>
      </c>
      <c r="F62" s="4" t="n">
        <v>0.7784722222222222</v>
      </c>
      <c r="G62" s="3">
        <f>IF($E62="","空卡",IF($F62="","单卡","正常"))</f>
        <v/>
      </c>
      <c r="H62" s="5">
        <f>IF($G62="正常",ROUND(($F62-$E62)*1440,0),"")</f>
        <v/>
      </c>
      <c r="I62" s="6">
        <f>IF($G62="正常",$H62/60,"")</f>
        <v/>
      </c>
      <c r="J62" s="7">
        <f>IF($G62="正常",ROUND($H62/30,0)/2,"")</f>
        <v/>
      </c>
      <c r="K62" s="7">
        <f>IF($G62="正常",MIN($J62,12),"")</f>
        <v/>
      </c>
      <c r="L62" s="7">
        <f>IF($G62="正常",MAX($J62-12,0),"")</f>
        <v/>
      </c>
    </row>
    <row r="63">
      <c r="A63" s="8" t="inlineStr">
        <is>
          <t>宋龙元</t>
        </is>
      </c>
      <c r="B63" s="8" t="inlineStr">
        <is>
          <t>8/31</t>
        </is>
      </c>
      <c r="C63" s="8" t="inlineStr">
        <is>
          <t>一</t>
        </is>
      </c>
      <c r="D63" s="8" t="inlineStr"/>
      <c r="E63" s="9" t="n"/>
      <c r="F63" s="9" t="n"/>
      <c r="G63" s="10">
        <f>IF($E63="","空卡",IF($F63="","单卡","正常"))</f>
        <v/>
      </c>
      <c r="H63" s="11">
        <f>IF($G63="正常",ROUND(($F63-$E63)*1440,0),"")</f>
        <v/>
      </c>
      <c r="I63" s="12">
        <f>IF($G63="正常",$H63/60,"")</f>
        <v/>
      </c>
      <c r="J63" s="13">
        <f>IF($G63="正常",ROUND($H63/30,0)/2,"")</f>
        <v/>
      </c>
      <c r="K63" s="13">
        <f>IF($G63="正常",MIN($J63,12),"")</f>
        <v/>
      </c>
      <c r="L63" s="13">
        <f>IF($G63="正常",MAX($J63-12,0),"")</f>
        <v/>
      </c>
    </row>
    <row r="64">
      <c r="A64" s="8" t="inlineStr">
        <is>
          <t>李露</t>
        </is>
      </c>
      <c r="B64" s="8" t="inlineStr">
        <is>
          <t>8/1</t>
        </is>
      </c>
      <c r="C64" s="8" t="inlineStr">
        <is>
          <t>六</t>
        </is>
      </c>
      <c r="D64" s="8" t="inlineStr"/>
      <c r="E64" s="9" t="n"/>
      <c r="F64" s="9" t="n"/>
      <c r="G64" s="10">
        <f>IF($E64="","空卡",IF($F64="","单卡","正常"))</f>
        <v/>
      </c>
      <c r="H64" s="11">
        <f>IF($G64="正常",ROUND(($F64-$E64)*1440,0),"")</f>
        <v/>
      </c>
      <c r="I64" s="12">
        <f>IF($G64="正常",$H64/60,"")</f>
        <v/>
      </c>
      <c r="J64" s="13">
        <f>IF($G64="正常",ROUND($H64/30,0)/2,"")</f>
        <v/>
      </c>
      <c r="K64" s="13">
        <f>IF($G64="正常",MIN($J64,12),"")</f>
        <v/>
      </c>
      <c r="L64" s="13">
        <f>IF($G64="正常",MAX($J64-12,0),"")</f>
        <v/>
      </c>
    </row>
    <row r="65">
      <c r="A65" s="8" t="inlineStr">
        <is>
          <t>李露</t>
        </is>
      </c>
      <c r="B65" s="8" t="inlineStr">
        <is>
          <t>8/2</t>
        </is>
      </c>
      <c r="C65" s="8" t="inlineStr">
        <is>
          <t>日</t>
        </is>
      </c>
      <c r="D65" s="8" t="inlineStr"/>
      <c r="E65" s="9" t="n"/>
      <c r="F65" s="9" t="n"/>
      <c r="G65" s="10">
        <f>IF($E65="","空卡",IF($F65="","单卡","正常"))</f>
        <v/>
      </c>
      <c r="H65" s="11">
        <f>IF($G65="正常",ROUND(($F65-$E65)*1440,0),"")</f>
        <v/>
      </c>
      <c r="I65" s="12">
        <f>IF($G65="正常",$H65/60,"")</f>
        <v/>
      </c>
      <c r="J65" s="13">
        <f>IF($G65="正常",ROUND($H65/30,0)/2,"")</f>
        <v/>
      </c>
      <c r="K65" s="13">
        <f>IF($G65="正常",MIN($J65,12),"")</f>
        <v/>
      </c>
      <c r="L65" s="13">
        <f>IF($G65="正常",MAX($J65-12,0),"")</f>
        <v/>
      </c>
    </row>
    <row r="66">
      <c r="A66" s="8" t="inlineStr">
        <is>
          <t>李露</t>
        </is>
      </c>
      <c r="B66" s="8" t="inlineStr">
        <is>
          <t>8/3</t>
        </is>
      </c>
      <c r="C66" s="8" t="inlineStr">
        <is>
          <t>一</t>
        </is>
      </c>
      <c r="D66" s="8" t="inlineStr"/>
      <c r="E66" s="9" t="n"/>
      <c r="F66" s="9" t="n"/>
      <c r="G66" s="10">
        <f>IF($E66="","空卡",IF($F66="","单卡","正常"))</f>
        <v/>
      </c>
      <c r="H66" s="11">
        <f>IF($G66="正常",ROUND(($F66-$E66)*1440,0),"")</f>
        <v/>
      </c>
      <c r="I66" s="12">
        <f>IF($G66="正常",$H66/60,"")</f>
        <v/>
      </c>
      <c r="J66" s="13">
        <f>IF($G66="正常",ROUND($H66/30,0)/2,"")</f>
        <v/>
      </c>
      <c r="K66" s="13">
        <f>IF($G66="正常",MIN($J66,12),"")</f>
        <v/>
      </c>
      <c r="L66" s="13">
        <f>IF($G66="正常",MAX($J66-12,0),"")</f>
        <v/>
      </c>
    </row>
    <row r="67">
      <c r="A67" s="8" t="inlineStr">
        <is>
          <t>李露</t>
        </is>
      </c>
      <c r="B67" s="8" t="inlineStr">
        <is>
          <t>8/4</t>
        </is>
      </c>
      <c r="C67" s="8" t="inlineStr">
        <is>
          <t>二</t>
        </is>
      </c>
      <c r="D67" s="8" t="inlineStr"/>
      <c r="E67" s="9" t="n"/>
      <c r="F67" s="9" t="n"/>
      <c r="G67" s="10">
        <f>IF($E67="","空卡",IF($F67="","单卡","正常"))</f>
        <v/>
      </c>
      <c r="H67" s="11">
        <f>IF($G67="正常",ROUND(($F67-$E67)*1440,0),"")</f>
        <v/>
      </c>
      <c r="I67" s="12">
        <f>IF($G67="正常",$H67/60,"")</f>
        <v/>
      </c>
      <c r="J67" s="13">
        <f>IF($G67="正常",ROUND($H67/30,0)/2,"")</f>
        <v/>
      </c>
      <c r="K67" s="13">
        <f>IF($G67="正常",MIN($J67,12),"")</f>
        <v/>
      </c>
      <c r="L67" s="13">
        <f>IF($G67="正常",MAX($J67-12,0),"")</f>
        <v/>
      </c>
    </row>
    <row r="68">
      <c r="A68" s="8" t="inlineStr">
        <is>
          <t>李露</t>
        </is>
      </c>
      <c r="B68" s="8" t="inlineStr">
        <is>
          <t>8/5</t>
        </is>
      </c>
      <c r="C68" s="8" t="inlineStr">
        <is>
          <t>三</t>
        </is>
      </c>
      <c r="D68" s="8" t="inlineStr"/>
      <c r="E68" s="9" t="n"/>
      <c r="F68" s="9" t="n"/>
      <c r="G68" s="10">
        <f>IF($E68="","空卡",IF($F68="","单卡","正常"))</f>
        <v/>
      </c>
      <c r="H68" s="11">
        <f>IF($G68="正常",ROUND(($F68-$E68)*1440,0),"")</f>
        <v/>
      </c>
      <c r="I68" s="12">
        <f>IF($G68="正常",$H68/60,"")</f>
        <v/>
      </c>
      <c r="J68" s="13">
        <f>IF($G68="正常",ROUND($H68/30,0)/2,"")</f>
        <v/>
      </c>
      <c r="K68" s="13">
        <f>IF($G68="正常",MIN($J68,12),"")</f>
        <v/>
      </c>
      <c r="L68" s="13">
        <f>IF($G68="正常",MAX($J68-12,0),"")</f>
        <v/>
      </c>
    </row>
    <row r="69">
      <c r="A69" s="8" t="inlineStr">
        <is>
          <t>李露</t>
        </is>
      </c>
      <c r="B69" s="8" t="inlineStr">
        <is>
          <t>8/6</t>
        </is>
      </c>
      <c r="C69" s="8" t="inlineStr">
        <is>
          <t>四</t>
        </is>
      </c>
      <c r="D69" s="8" t="inlineStr"/>
      <c r="E69" s="9" t="n"/>
      <c r="F69" s="9" t="n"/>
      <c r="G69" s="10">
        <f>IF($E69="","空卡",IF($F69="","单卡","正常"))</f>
        <v/>
      </c>
      <c r="H69" s="11">
        <f>IF($G69="正常",ROUND(($F69-$E69)*1440,0),"")</f>
        <v/>
      </c>
      <c r="I69" s="12">
        <f>IF($G69="正常",$H69/60,"")</f>
        <v/>
      </c>
      <c r="J69" s="13">
        <f>IF($G69="正常",ROUND($H69/30,0)/2,"")</f>
        <v/>
      </c>
      <c r="K69" s="13">
        <f>IF($G69="正常",MIN($J69,12),"")</f>
        <v/>
      </c>
      <c r="L69" s="13">
        <f>IF($G69="正常",MAX($J69-12,0),"")</f>
        <v/>
      </c>
    </row>
    <row r="70">
      <c r="A70" s="8" t="inlineStr">
        <is>
          <t>李露</t>
        </is>
      </c>
      <c r="B70" s="8" t="inlineStr">
        <is>
          <t>8/7</t>
        </is>
      </c>
      <c r="C70" s="8" t="inlineStr">
        <is>
          <t>五</t>
        </is>
      </c>
      <c r="D70" s="8" t="inlineStr"/>
      <c r="E70" s="9" t="n"/>
      <c r="F70" s="9" t="n"/>
      <c r="G70" s="10">
        <f>IF($E70="","空卡",IF($F70="","单卡","正常"))</f>
        <v/>
      </c>
      <c r="H70" s="11">
        <f>IF($G70="正常",ROUND(($F70-$E70)*1440,0),"")</f>
        <v/>
      </c>
      <c r="I70" s="12">
        <f>IF($G70="正常",$H70/60,"")</f>
        <v/>
      </c>
      <c r="J70" s="13">
        <f>IF($G70="正常",ROUND($H70/30,0)/2,"")</f>
        <v/>
      </c>
      <c r="K70" s="13">
        <f>IF($G70="正常",MIN($J70,12),"")</f>
        <v/>
      </c>
      <c r="L70" s="13">
        <f>IF($G70="正常",MAX($J70-12,0),"")</f>
        <v/>
      </c>
    </row>
    <row r="71">
      <c r="A71" s="8" t="inlineStr">
        <is>
          <t>李露</t>
        </is>
      </c>
      <c r="B71" s="8" t="inlineStr">
        <is>
          <t>8/8</t>
        </is>
      </c>
      <c r="C71" s="8" t="inlineStr">
        <is>
          <t>六</t>
        </is>
      </c>
      <c r="D71" s="8" t="inlineStr"/>
      <c r="E71" s="9" t="n"/>
      <c r="F71" s="9" t="n"/>
      <c r="G71" s="10">
        <f>IF($E71="","空卡",IF($F71="","单卡","正常"))</f>
        <v/>
      </c>
      <c r="H71" s="11">
        <f>IF($G71="正常",ROUND(($F71-$E71)*1440,0),"")</f>
        <v/>
      </c>
      <c r="I71" s="12">
        <f>IF($G71="正常",$H71/60,"")</f>
        <v/>
      </c>
      <c r="J71" s="13">
        <f>IF($G71="正常",ROUND($H71/30,0)/2,"")</f>
        <v/>
      </c>
      <c r="K71" s="13">
        <f>IF($G71="正常",MIN($J71,12),"")</f>
        <v/>
      </c>
      <c r="L71" s="13">
        <f>IF($G71="正常",MAX($J71-12,0),"")</f>
        <v/>
      </c>
    </row>
    <row r="72">
      <c r="A72" s="8" t="inlineStr">
        <is>
          <t>李露</t>
        </is>
      </c>
      <c r="B72" s="8" t="inlineStr">
        <is>
          <t>8/9</t>
        </is>
      </c>
      <c r="C72" s="8" t="inlineStr">
        <is>
          <t>日</t>
        </is>
      </c>
      <c r="D72" s="8" t="inlineStr"/>
      <c r="E72" s="9" t="n"/>
      <c r="F72" s="9" t="n"/>
      <c r="G72" s="10">
        <f>IF($E72="","空卡",IF($F72="","单卡","正常"))</f>
        <v/>
      </c>
      <c r="H72" s="11">
        <f>IF($G72="正常",ROUND(($F72-$E72)*1440,0),"")</f>
        <v/>
      </c>
      <c r="I72" s="12">
        <f>IF($G72="正常",$H72/60,"")</f>
        <v/>
      </c>
      <c r="J72" s="13">
        <f>IF($G72="正常",ROUND($H72/30,0)/2,"")</f>
        <v/>
      </c>
      <c r="K72" s="13">
        <f>IF($G72="正常",MIN($J72,12),"")</f>
        <v/>
      </c>
      <c r="L72" s="13">
        <f>IF($G72="正常",MAX($J72-12,0),"")</f>
        <v/>
      </c>
    </row>
    <row r="73">
      <c r="A73" s="8" t="inlineStr">
        <is>
          <t>李露</t>
        </is>
      </c>
      <c r="B73" s="8" t="inlineStr">
        <is>
          <t>8/10</t>
        </is>
      </c>
      <c r="C73" s="8" t="inlineStr">
        <is>
          <t>一</t>
        </is>
      </c>
      <c r="D73" s="8" t="inlineStr"/>
      <c r="E73" s="9" t="n"/>
      <c r="F73" s="9" t="n"/>
      <c r="G73" s="10">
        <f>IF($E73="","空卡",IF($F73="","单卡","正常"))</f>
        <v/>
      </c>
      <c r="H73" s="11">
        <f>IF($G73="正常",ROUND(($F73-$E73)*1440,0),"")</f>
        <v/>
      </c>
      <c r="I73" s="12">
        <f>IF($G73="正常",$H73/60,"")</f>
        <v/>
      </c>
      <c r="J73" s="13">
        <f>IF($G73="正常",ROUND($H73/30,0)/2,"")</f>
        <v/>
      </c>
      <c r="K73" s="13">
        <f>IF($G73="正常",MIN($J73,12),"")</f>
        <v/>
      </c>
      <c r="L73" s="13">
        <f>IF($G73="正常",MAX($J73-12,0),"")</f>
        <v/>
      </c>
    </row>
    <row r="74">
      <c r="A74" s="8" t="inlineStr">
        <is>
          <t>李露</t>
        </is>
      </c>
      <c r="B74" s="8" t="inlineStr">
        <is>
          <t>8/11</t>
        </is>
      </c>
      <c r="C74" s="8" t="inlineStr">
        <is>
          <t>二</t>
        </is>
      </c>
      <c r="D74" s="8" t="inlineStr"/>
      <c r="E74" s="9" t="n"/>
      <c r="F74" s="9" t="n"/>
      <c r="G74" s="10">
        <f>IF($E74="","空卡",IF($F74="","单卡","正常"))</f>
        <v/>
      </c>
      <c r="H74" s="11">
        <f>IF($G74="正常",ROUND(($F74-$E74)*1440,0),"")</f>
        <v/>
      </c>
      <c r="I74" s="12">
        <f>IF($G74="正常",$H74/60,"")</f>
        <v/>
      </c>
      <c r="J74" s="13">
        <f>IF($G74="正常",ROUND($H74/30,0)/2,"")</f>
        <v/>
      </c>
      <c r="K74" s="13">
        <f>IF($G74="正常",MIN($J74,12),"")</f>
        <v/>
      </c>
      <c r="L74" s="13">
        <f>IF($G74="正常",MAX($J74-12,0),"")</f>
        <v/>
      </c>
    </row>
    <row r="75">
      <c r="A75" s="8" t="inlineStr">
        <is>
          <t>李露</t>
        </is>
      </c>
      <c r="B75" s="8" t="inlineStr">
        <is>
          <t>8/12</t>
        </is>
      </c>
      <c r="C75" s="8" t="inlineStr">
        <is>
          <t>三</t>
        </is>
      </c>
      <c r="D75" s="8" t="inlineStr"/>
      <c r="E75" s="9" t="n"/>
      <c r="F75" s="9" t="n"/>
      <c r="G75" s="10">
        <f>IF($E75="","空卡",IF($F75="","单卡","正常"))</f>
        <v/>
      </c>
      <c r="H75" s="11">
        <f>IF($G75="正常",ROUND(($F75-$E75)*1440,0),"")</f>
        <v/>
      </c>
      <c r="I75" s="12">
        <f>IF($G75="正常",$H75/60,"")</f>
        <v/>
      </c>
      <c r="J75" s="13">
        <f>IF($G75="正常",ROUND($H75/30,0)/2,"")</f>
        <v/>
      </c>
      <c r="K75" s="13">
        <f>IF($G75="正常",MIN($J75,12),"")</f>
        <v/>
      </c>
      <c r="L75" s="13">
        <f>IF($G75="正常",MAX($J75-12,0),"")</f>
        <v/>
      </c>
    </row>
    <row r="76">
      <c r="A76" s="8" t="inlineStr">
        <is>
          <t>李露</t>
        </is>
      </c>
      <c r="B76" s="8" t="inlineStr">
        <is>
          <t>8/13</t>
        </is>
      </c>
      <c r="C76" s="8" t="inlineStr">
        <is>
          <t>四</t>
        </is>
      </c>
      <c r="D76" s="8" t="inlineStr"/>
      <c r="E76" s="9" t="n"/>
      <c r="F76" s="9" t="n"/>
      <c r="G76" s="10">
        <f>IF($E76="","空卡",IF($F76="","单卡","正常"))</f>
        <v/>
      </c>
      <c r="H76" s="11">
        <f>IF($G76="正常",ROUND(($F76-$E76)*1440,0),"")</f>
        <v/>
      </c>
      <c r="I76" s="12">
        <f>IF($G76="正常",$H76/60,"")</f>
        <v/>
      </c>
      <c r="J76" s="13">
        <f>IF($G76="正常",ROUND($H76/30,0)/2,"")</f>
        <v/>
      </c>
      <c r="K76" s="13">
        <f>IF($G76="正常",MIN($J76,12),"")</f>
        <v/>
      </c>
      <c r="L76" s="13">
        <f>IF($G76="正常",MAX($J76-12,0),"")</f>
        <v/>
      </c>
    </row>
    <row r="77">
      <c r="A77" s="8" t="inlineStr">
        <is>
          <t>李露</t>
        </is>
      </c>
      <c r="B77" s="8" t="inlineStr">
        <is>
          <t>8/14</t>
        </is>
      </c>
      <c r="C77" s="8" t="inlineStr">
        <is>
          <t>五</t>
        </is>
      </c>
      <c r="D77" s="8" t="inlineStr"/>
      <c r="E77" s="9" t="n"/>
      <c r="F77" s="9" t="n"/>
      <c r="G77" s="10">
        <f>IF($E77="","空卡",IF($F77="","单卡","正常"))</f>
        <v/>
      </c>
      <c r="H77" s="11">
        <f>IF($G77="正常",ROUND(($F77-$E77)*1440,0),"")</f>
        <v/>
      </c>
      <c r="I77" s="12">
        <f>IF($G77="正常",$H77/60,"")</f>
        <v/>
      </c>
      <c r="J77" s="13">
        <f>IF($G77="正常",ROUND($H77/30,0)/2,"")</f>
        <v/>
      </c>
      <c r="K77" s="13">
        <f>IF($G77="正常",MIN($J77,12),"")</f>
        <v/>
      </c>
      <c r="L77" s="13">
        <f>IF($G77="正常",MAX($J77-12,0),"")</f>
        <v/>
      </c>
    </row>
    <row r="78">
      <c r="A78" s="8" t="inlineStr">
        <is>
          <t>李露</t>
        </is>
      </c>
      <c r="B78" s="8" t="inlineStr">
        <is>
          <t>8/15</t>
        </is>
      </c>
      <c r="C78" s="8" t="inlineStr">
        <is>
          <t>六</t>
        </is>
      </c>
      <c r="D78" s="8" t="inlineStr"/>
      <c r="E78" s="9" t="n"/>
      <c r="F78" s="9" t="n"/>
      <c r="G78" s="10">
        <f>IF($E78="","空卡",IF($F78="","单卡","正常"))</f>
        <v/>
      </c>
      <c r="H78" s="11">
        <f>IF($G78="正常",ROUND(($F78-$E78)*1440,0),"")</f>
        <v/>
      </c>
      <c r="I78" s="12">
        <f>IF($G78="正常",$H78/60,"")</f>
        <v/>
      </c>
      <c r="J78" s="13">
        <f>IF($G78="正常",ROUND($H78/30,0)/2,"")</f>
        <v/>
      </c>
      <c r="K78" s="13">
        <f>IF($G78="正常",MIN($J78,12),"")</f>
        <v/>
      </c>
      <c r="L78" s="13">
        <f>IF($G78="正常",MAX($J78-12,0),"")</f>
        <v/>
      </c>
    </row>
    <row r="79">
      <c r="A79" s="8" t="inlineStr">
        <is>
          <t>李露</t>
        </is>
      </c>
      <c r="B79" s="8" t="inlineStr">
        <is>
          <t>8/16</t>
        </is>
      </c>
      <c r="C79" s="8" t="inlineStr">
        <is>
          <t>日</t>
        </is>
      </c>
      <c r="D79" s="8" t="inlineStr"/>
      <c r="E79" s="9" t="n"/>
      <c r="F79" s="9" t="n"/>
      <c r="G79" s="10">
        <f>IF($E79="","空卡",IF($F79="","单卡","正常"))</f>
        <v/>
      </c>
      <c r="H79" s="11">
        <f>IF($G79="正常",ROUND(($F79-$E79)*1440,0),"")</f>
        <v/>
      </c>
      <c r="I79" s="12">
        <f>IF($G79="正常",$H79/60,"")</f>
        <v/>
      </c>
      <c r="J79" s="13">
        <f>IF($G79="正常",ROUND($H79/30,0)/2,"")</f>
        <v/>
      </c>
      <c r="K79" s="13">
        <f>IF($G79="正常",MIN($J79,12),"")</f>
        <v/>
      </c>
      <c r="L79" s="13">
        <f>IF($G79="正常",MAX($J79-12,0),"")</f>
        <v/>
      </c>
    </row>
    <row r="80">
      <c r="A80" s="8" t="inlineStr">
        <is>
          <t>李露</t>
        </is>
      </c>
      <c r="B80" s="8" t="inlineStr">
        <is>
          <t>8/17</t>
        </is>
      </c>
      <c r="C80" s="8" t="inlineStr">
        <is>
          <t>一</t>
        </is>
      </c>
      <c r="D80" s="8" t="inlineStr"/>
      <c r="E80" s="9" t="n"/>
      <c r="F80" s="9" t="n"/>
      <c r="G80" s="10">
        <f>IF($E80="","空卡",IF($F80="","单卡","正常"))</f>
        <v/>
      </c>
      <c r="H80" s="11">
        <f>IF($G80="正常",ROUND(($F80-$E80)*1440,0),"")</f>
        <v/>
      </c>
      <c r="I80" s="12">
        <f>IF($G80="正常",$H80/60,"")</f>
        <v/>
      </c>
      <c r="J80" s="13">
        <f>IF($G80="正常",ROUND($H80/30,0)/2,"")</f>
        <v/>
      </c>
      <c r="K80" s="13">
        <f>IF($G80="正常",MIN($J80,12),"")</f>
        <v/>
      </c>
      <c r="L80" s="13">
        <f>IF($G80="正常",MAX($J80-12,0),"")</f>
        <v/>
      </c>
    </row>
    <row r="81">
      <c r="A81" s="8" t="inlineStr">
        <is>
          <t>李露</t>
        </is>
      </c>
      <c r="B81" s="8" t="inlineStr">
        <is>
          <t>8/18</t>
        </is>
      </c>
      <c r="C81" s="8" t="inlineStr">
        <is>
          <t>二</t>
        </is>
      </c>
      <c r="D81" s="8" t="inlineStr"/>
      <c r="E81" s="9" t="n"/>
      <c r="F81" s="9" t="n"/>
      <c r="G81" s="10">
        <f>IF($E81="","空卡",IF($F81="","单卡","正常"))</f>
        <v/>
      </c>
      <c r="H81" s="11">
        <f>IF($G81="正常",ROUND(($F81-$E81)*1440,0),"")</f>
        <v/>
      </c>
      <c r="I81" s="12">
        <f>IF($G81="正常",$H81/60,"")</f>
        <v/>
      </c>
      <c r="J81" s="13">
        <f>IF($G81="正常",ROUND($H81/30,0)/2,"")</f>
        <v/>
      </c>
      <c r="K81" s="13">
        <f>IF($G81="正常",MIN($J81,12),"")</f>
        <v/>
      </c>
      <c r="L81" s="13">
        <f>IF($G81="正常",MAX($J81-12,0),"")</f>
        <v/>
      </c>
    </row>
    <row r="82">
      <c r="A82" s="8" t="inlineStr">
        <is>
          <t>李露</t>
        </is>
      </c>
      <c r="B82" s="8" t="inlineStr">
        <is>
          <t>8/19</t>
        </is>
      </c>
      <c r="C82" s="8" t="inlineStr">
        <is>
          <t>三</t>
        </is>
      </c>
      <c r="D82" s="8" t="inlineStr"/>
      <c r="E82" s="9" t="n"/>
      <c r="F82" s="9" t="n"/>
      <c r="G82" s="10">
        <f>IF($E82="","空卡",IF($F82="","单卡","正常"))</f>
        <v/>
      </c>
      <c r="H82" s="11">
        <f>IF($G82="正常",ROUND(($F82-$E82)*1440,0),"")</f>
        <v/>
      </c>
      <c r="I82" s="12">
        <f>IF($G82="正常",$H82/60,"")</f>
        <v/>
      </c>
      <c r="J82" s="13">
        <f>IF($G82="正常",ROUND($H82/30,0)/2,"")</f>
        <v/>
      </c>
      <c r="K82" s="13">
        <f>IF($G82="正常",MIN($J82,12),"")</f>
        <v/>
      </c>
      <c r="L82" s="13">
        <f>IF($G82="正常",MAX($J82-12,0),"")</f>
        <v/>
      </c>
    </row>
    <row r="83">
      <c r="A83" s="8" t="inlineStr">
        <is>
          <t>李露</t>
        </is>
      </c>
      <c r="B83" s="8" t="inlineStr">
        <is>
          <t>8/20</t>
        </is>
      </c>
      <c r="C83" s="8" t="inlineStr">
        <is>
          <t>四</t>
        </is>
      </c>
      <c r="D83" s="8" t="inlineStr"/>
      <c r="E83" s="9" t="n"/>
      <c r="F83" s="9" t="n"/>
      <c r="G83" s="10">
        <f>IF($E83="","空卡",IF($F83="","单卡","正常"))</f>
        <v/>
      </c>
      <c r="H83" s="11">
        <f>IF($G83="正常",ROUND(($F83-$E83)*1440,0),"")</f>
        <v/>
      </c>
      <c r="I83" s="12">
        <f>IF($G83="正常",$H83/60,"")</f>
        <v/>
      </c>
      <c r="J83" s="13">
        <f>IF($G83="正常",ROUND($H83/30,0)/2,"")</f>
        <v/>
      </c>
      <c r="K83" s="13">
        <f>IF($G83="正常",MIN($J83,12),"")</f>
        <v/>
      </c>
      <c r="L83" s="13">
        <f>IF($G83="正常",MAX($J83-12,0),"")</f>
        <v/>
      </c>
    </row>
    <row r="84">
      <c r="A84" s="8" t="inlineStr">
        <is>
          <t>李露</t>
        </is>
      </c>
      <c r="B84" s="8" t="inlineStr">
        <is>
          <t>8/21</t>
        </is>
      </c>
      <c r="C84" s="8" t="inlineStr">
        <is>
          <t>五</t>
        </is>
      </c>
      <c r="D84" s="8" t="inlineStr"/>
      <c r="E84" s="9" t="n"/>
      <c r="F84" s="9" t="n"/>
      <c r="G84" s="10">
        <f>IF($E84="","空卡",IF($F84="","单卡","正常"))</f>
        <v/>
      </c>
      <c r="H84" s="11">
        <f>IF($G84="正常",ROUND(($F84-$E84)*1440,0),"")</f>
        <v/>
      </c>
      <c r="I84" s="12">
        <f>IF($G84="正常",$H84/60,"")</f>
        <v/>
      </c>
      <c r="J84" s="13">
        <f>IF($G84="正常",ROUND($H84/30,0)/2,"")</f>
        <v/>
      </c>
      <c r="K84" s="13">
        <f>IF($G84="正常",MIN($J84,12),"")</f>
        <v/>
      </c>
      <c r="L84" s="13">
        <f>IF($G84="正常",MAX($J84-12,0),"")</f>
        <v/>
      </c>
    </row>
    <row r="85">
      <c r="A85" s="8" t="inlineStr">
        <is>
          <t>李露</t>
        </is>
      </c>
      <c r="B85" s="8" t="inlineStr">
        <is>
          <t>8/22</t>
        </is>
      </c>
      <c r="C85" s="8" t="inlineStr">
        <is>
          <t>六</t>
        </is>
      </c>
      <c r="D85" s="8" t="inlineStr"/>
      <c r="E85" s="9" t="n"/>
      <c r="F85" s="9" t="n"/>
      <c r="G85" s="10">
        <f>IF($E85="","空卡",IF($F85="","单卡","正常"))</f>
        <v/>
      </c>
      <c r="H85" s="11">
        <f>IF($G85="正常",ROUND(($F85-$E85)*1440,0),"")</f>
        <v/>
      </c>
      <c r="I85" s="12">
        <f>IF($G85="正常",$H85/60,"")</f>
        <v/>
      </c>
      <c r="J85" s="13">
        <f>IF($G85="正常",ROUND($H85/30,0)/2,"")</f>
        <v/>
      </c>
      <c r="K85" s="13">
        <f>IF($G85="正常",MIN($J85,12),"")</f>
        <v/>
      </c>
      <c r="L85" s="13">
        <f>IF($G85="正常",MAX($J85-12,0),"")</f>
        <v/>
      </c>
    </row>
    <row r="86">
      <c r="A86" s="8" t="inlineStr">
        <is>
          <t>李露</t>
        </is>
      </c>
      <c r="B86" s="8" t="inlineStr">
        <is>
          <t>8/23</t>
        </is>
      </c>
      <c r="C86" s="8" t="inlineStr">
        <is>
          <t>日</t>
        </is>
      </c>
      <c r="D86" s="8" t="inlineStr"/>
      <c r="E86" s="9" t="n"/>
      <c r="F86" s="9" t="n"/>
      <c r="G86" s="10">
        <f>IF($E86="","空卡",IF($F86="","单卡","正常"))</f>
        <v/>
      </c>
      <c r="H86" s="11">
        <f>IF($G86="正常",ROUND(($F86-$E86)*1440,0),"")</f>
        <v/>
      </c>
      <c r="I86" s="12">
        <f>IF($G86="正常",$H86/60,"")</f>
        <v/>
      </c>
      <c r="J86" s="13">
        <f>IF($G86="正常",ROUND($H86/30,0)/2,"")</f>
        <v/>
      </c>
      <c r="K86" s="13">
        <f>IF($G86="正常",MIN($J86,12),"")</f>
        <v/>
      </c>
      <c r="L86" s="13">
        <f>IF($G86="正常",MAX($J86-12,0),"")</f>
        <v/>
      </c>
    </row>
    <row r="87">
      <c r="A87" s="8" t="inlineStr">
        <is>
          <t>李露</t>
        </is>
      </c>
      <c r="B87" s="8" t="inlineStr">
        <is>
          <t>8/24</t>
        </is>
      </c>
      <c r="C87" s="8" t="inlineStr">
        <is>
          <t>一</t>
        </is>
      </c>
      <c r="D87" s="8" t="inlineStr">
        <is>
          <t>18:52</t>
        </is>
      </c>
      <c r="E87" s="9" t="n">
        <v>0.7861111111111111</v>
      </c>
      <c r="F87" s="9" t="n"/>
      <c r="G87" s="10">
        <f>IF($E87="","空卡",IF($F87="","单卡","正常"))</f>
        <v/>
      </c>
      <c r="H87" s="11">
        <f>IF($G87="正常",ROUND(($F87-$E87)*1440,0),"")</f>
        <v/>
      </c>
      <c r="I87" s="12">
        <f>IF($G87="正常",$H87/60,"")</f>
        <v/>
      </c>
      <c r="J87" s="13">
        <f>IF($G87="正常",ROUND($H87/30,0)/2,"")</f>
        <v/>
      </c>
      <c r="K87" s="13">
        <f>IF($G87="正常",MIN($J87,12),"")</f>
        <v/>
      </c>
      <c r="L87" s="13">
        <f>IF($G87="正常",MAX($J87-12,0),"")</f>
        <v/>
      </c>
    </row>
    <row r="88">
      <c r="A88" s="8" t="inlineStr">
        <is>
          <t>李露</t>
        </is>
      </c>
      <c r="B88" s="8" t="inlineStr">
        <is>
          <t>8/25</t>
        </is>
      </c>
      <c r="C88" s="8" t="inlineStr">
        <is>
          <t>二</t>
        </is>
      </c>
      <c r="D88" s="8" t="inlineStr"/>
      <c r="E88" s="9" t="n"/>
      <c r="F88" s="9" t="n"/>
      <c r="G88" s="10">
        <f>IF($E88="","空卡",IF($F88="","单卡","正常"))</f>
        <v/>
      </c>
      <c r="H88" s="11">
        <f>IF($G88="正常",ROUND(($F88-$E88)*1440,0),"")</f>
        <v/>
      </c>
      <c r="I88" s="12">
        <f>IF($G88="正常",$H88/60,"")</f>
        <v/>
      </c>
      <c r="J88" s="13">
        <f>IF($G88="正常",ROUND($H88/30,0)/2,"")</f>
        <v/>
      </c>
      <c r="K88" s="13">
        <f>IF($G88="正常",MIN($J88,12),"")</f>
        <v/>
      </c>
      <c r="L88" s="13">
        <f>IF($G88="正常",MAX($J88-12,0),"")</f>
        <v/>
      </c>
    </row>
    <row r="89">
      <c r="A89" s="8" t="inlineStr">
        <is>
          <t>李露</t>
        </is>
      </c>
      <c r="B89" s="8" t="inlineStr">
        <is>
          <t>8/26</t>
        </is>
      </c>
      <c r="C89" s="8" t="inlineStr">
        <is>
          <t>三</t>
        </is>
      </c>
      <c r="D89" s="8" t="inlineStr"/>
      <c r="E89" s="9" t="n"/>
      <c r="F89" s="9" t="n"/>
      <c r="G89" s="10">
        <f>IF($E89="","空卡",IF($F89="","单卡","正常"))</f>
        <v/>
      </c>
      <c r="H89" s="11">
        <f>IF($G89="正常",ROUND(($F89-$E89)*1440,0),"")</f>
        <v/>
      </c>
      <c r="I89" s="12">
        <f>IF($G89="正常",$H89/60,"")</f>
        <v/>
      </c>
      <c r="J89" s="13">
        <f>IF($G89="正常",ROUND($H89/30,0)/2,"")</f>
        <v/>
      </c>
      <c r="K89" s="13">
        <f>IF($G89="正常",MIN($J89,12),"")</f>
        <v/>
      </c>
      <c r="L89" s="13">
        <f>IF($G89="正常",MAX($J89-12,0),"")</f>
        <v/>
      </c>
    </row>
    <row r="90">
      <c r="A90" s="8" t="inlineStr">
        <is>
          <t>李露</t>
        </is>
      </c>
      <c r="B90" s="8" t="inlineStr">
        <is>
          <t>8/27</t>
        </is>
      </c>
      <c r="C90" s="8" t="inlineStr">
        <is>
          <t>四</t>
        </is>
      </c>
      <c r="D90" s="8" t="inlineStr"/>
      <c r="E90" s="9" t="n"/>
      <c r="F90" s="9" t="n"/>
      <c r="G90" s="10">
        <f>IF($E90="","空卡",IF($F90="","单卡","正常"))</f>
        <v/>
      </c>
      <c r="H90" s="11">
        <f>IF($G90="正常",ROUND(($F90-$E90)*1440,0),"")</f>
        <v/>
      </c>
      <c r="I90" s="12">
        <f>IF($G90="正常",$H90/60,"")</f>
        <v/>
      </c>
      <c r="J90" s="13">
        <f>IF($G90="正常",ROUND($H90/30,0)/2,"")</f>
        <v/>
      </c>
      <c r="K90" s="13">
        <f>IF($G90="正常",MIN($J90,12),"")</f>
        <v/>
      </c>
      <c r="L90" s="13">
        <f>IF($G90="正常",MAX($J90-12,0),"")</f>
        <v/>
      </c>
    </row>
    <row r="91">
      <c r="A91" s="8" t="inlineStr">
        <is>
          <t>李露</t>
        </is>
      </c>
      <c r="B91" s="8" t="inlineStr">
        <is>
          <t>8/28</t>
        </is>
      </c>
      <c r="C91" s="8" t="inlineStr">
        <is>
          <t>五</t>
        </is>
      </c>
      <c r="D91" s="8" t="inlineStr"/>
      <c r="E91" s="9" t="n"/>
      <c r="F91" s="9" t="n"/>
      <c r="G91" s="10">
        <f>IF($E91="","空卡",IF($F91="","单卡","正常"))</f>
        <v/>
      </c>
      <c r="H91" s="11">
        <f>IF($G91="正常",ROUND(($F91-$E91)*1440,0),"")</f>
        <v/>
      </c>
      <c r="I91" s="12">
        <f>IF($G91="正常",$H91/60,"")</f>
        <v/>
      </c>
      <c r="J91" s="13">
        <f>IF($G91="正常",ROUND($H91/30,0)/2,"")</f>
        <v/>
      </c>
      <c r="K91" s="13">
        <f>IF($G91="正常",MIN($J91,12),"")</f>
        <v/>
      </c>
      <c r="L91" s="13">
        <f>IF($G91="正常",MAX($J91-12,0),"")</f>
        <v/>
      </c>
    </row>
    <row r="92">
      <c r="A92" s="8" t="inlineStr">
        <is>
          <t>李露</t>
        </is>
      </c>
      <c r="B92" s="8" t="inlineStr">
        <is>
          <t>8/29</t>
        </is>
      </c>
      <c r="C92" s="8" t="inlineStr">
        <is>
          <t>六</t>
        </is>
      </c>
      <c r="D92" s="8" t="inlineStr"/>
      <c r="E92" s="9" t="n"/>
      <c r="F92" s="9" t="n"/>
      <c r="G92" s="10">
        <f>IF($E92="","空卡",IF($F92="","单卡","正常"))</f>
        <v/>
      </c>
      <c r="H92" s="11">
        <f>IF($G92="正常",ROUND(($F92-$E92)*1440,0),"")</f>
        <v/>
      </c>
      <c r="I92" s="12">
        <f>IF($G92="正常",$H92/60,"")</f>
        <v/>
      </c>
      <c r="J92" s="13">
        <f>IF($G92="正常",ROUND($H92/30,0)/2,"")</f>
        <v/>
      </c>
      <c r="K92" s="13">
        <f>IF($G92="正常",MIN($J92,12),"")</f>
        <v/>
      </c>
      <c r="L92" s="13">
        <f>IF($G92="正常",MAX($J92-12,0),"")</f>
        <v/>
      </c>
    </row>
    <row r="93">
      <c r="A93" s="8" t="inlineStr">
        <is>
          <t>李露</t>
        </is>
      </c>
      <c r="B93" s="8" t="inlineStr">
        <is>
          <t>8/30</t>
        </is>
      </c>
      <c r="C93" s="8" t="inlineStr">
        <is>
          <t>日</t>
        </is>
      </c>
      <c r="D93" s="8" t="inlineStr"/>
      <c r="E93" s="9" t="n"/>
      <c r="F93" s="9" t="n"/>
      <c r="G93" s="10">
        <f>IF($E93="","空卡",IF($F93="","单卡","正常"))</f>
        <v/>
      </c>
      <c r="H93" s="11">
        <f>IF($G93="正常",ROUND(($F93-$E93)*1440,0),"")</f>
        <v/>
      </c>
      <c r="I93" s="12">
        <f>IF($G93="正常",$H93/60,"")</f>
        <v/>
      </c>
      <c r="J93" s="13">
        <f>IF($G93="正常",ROUND($H93/30,0)/2,"")</f>
        <v/>
      </c>
      <c r="K93" s="13">
        <f>IF($G93="正常",MIN($J93,12),"")</f>
        <v/>
      </c>
      <c r="L93" s="13">
        <f>IF($G93="正常",MAX($J93-12,0),"")</f>
        <v/>
      </c>
    </row>
    <row r="94">
      <c r="A94" s="8" t="inlineStr">
        <is>
          <t>李露</t>
        </is>
      </c>
      <c r="B94" s="8" t="inlineStr">
        <is>
          <t>8/31</t>
        </is>
      </c>
      <c r="C94" s="8" t="inlineStr">
        <is>
          <t>一</t>
        </is>
      </c>
      <c r="D94" s="8" t="inlineStr"/>
      <c r="E94" s="9" t="n"/>
      <c r="F94" s="9" t="n"/>
      <c r="G94" s="10">
        <f>IF($E94="","空卡",IF($F94="","单卡","正常"))</f>
        <v/>
      </c>
      <c r="H94" s="11">
        <f>IF($G94="正常",ROUND(($F94-$E94)*1440,0),"")</f>
        <v/>
      </c>
      <c r="I94" s="12">
        <f>IF($G94="正常",$H94/60,"")</f>
        <v/>
      </c>
      <c r="J94" s="13">
        <f>IF($G94="正常",ROUND($H94/30,0)/2,"")</f>
        <v/>
      </c>
      <c r="K94" s="13">
        <f>IF($G94="正常",MIN($J94,12),"")</f>
        <v/>
      </c>
      <c r="L94" s="13">
        <f>IF($G94="正常",MAX($J94-12,0),"")</f>
        <v/>
      </c>
    </row>
    <row r="95">
      <c r="A95" s="3" t="inlineStr">
        <is>
          <t>熊其容</t>
        </is>
      </c>
      <c r="B95" s="3" t="inlineStr">
        <is>
          <t>8/1</t>
        </is>
      </c>
      <c r="C95" s="3" t="inlineStr">
        <is>
          <t>六</t>
        </is>
      </c>
      <c r="D95" s="3" t="inlineStr">
        <is>
          <t>07:54 17:02</t>
        </is>
      </c>
      <c r="E95" s="4" t="n">
        <v>0.3291666666666667</v>
      </c>
      <c r="F95" s="4" t="n">
        <v>0.7097222222222223</v>
      </c>
      <c r="G95" s="3">
        <f>IF($E95="","空卡",IF($F95="","单卡","正常"))</f>
        <v/>
      </c>
      <c r="H95" s="5">
        <f>IF($G95="正常",ROUND(($F95-$E95)*1440,0),"")</f>
        <v/>
      </c>
      <c r="I95" s="6">
        <f>IF($G95="正常",$H95/60,"")</f>
        <v/>
      </c>
      <c r="J95" s="7">
        <f>IF($G95="正常",ROUND($H95/30,0)/2,"")</f>
        <v/>
      </c>
      <c r="K95" s="7">
        <f>IF($G95="正常",MIN($J95,12),"")</f>
        <v/>
      </c>
      <c r="L95" s="7">
        <f>IF($G95="正常",MAX($J95-12,0),"")</f>
        <v/>
      </c>
    </row>
    <row r="96">
      <c r="A96" s="8" t="inlineStr">
        <is>
          <t>熊其容</t>
        </is>
      </c>
      <c r="B96" s="8" t="inlineStr">
        <is>
          <t>8/2</t>
        </is>
      </c>
      <c r="C96" s="8" t="inlineStr">
        <is>
          <t>日</t>
        </is>
      </c>
      <c r="D96" s="8" t="inlineStr">
        <is>
          <t>14:59</t>
        </is>
      </c>
      <c r="E96" s="9" t="n">
        <v>0.6243055555555556</v>
      </c>
      <c r="F96" s="9" t="n"/>
      <c r="G96" s="10">
        <f>IF($E96="","空卡",IF($F96="","单卡","正常"))</f>
        <v/>
      </c>
      <c r="H96" s="11">
        <f>IF($G96="正常",ROUND(($F96-$E96)*1440,0),"")</f>
        <v/>
      </c>
      <c r="I96" s="12">
        <f>IF($G96="正常",$H96/60,"")</f>
        <v/>
      </c>
      <c r="J96" s="13">
        <f>IF($G96="正常",ROUND($H96/30,0)/2,"")</f>
        <v/>
      </c>
      <c r="K96" s="13">
        <f>IF($G96="正常",MIN($J96,12),"")</f>
        <v/>
      </c>
      <c r="L96" s="13">
        <f>IF($G96="正常",MAX($J96-12,0),"")</f>
        <v/>
      </c>
    </row>
    <row r="97">
      <c r="A97" s="3" t="inlineStr">
        <is>
          <t>熊其容</t>
        </is>
      </c>
      <c r="B97" s="3" t="inlineStr">
        <is>
          <t>8/3</t>
        </is>
      </c>
      <c r="C97" s="3" t="inlineStr">
        <is>
          <t>一</t>
        </is>
      </c>
      <c r="D97" s="3" t="inlineStr">
        <is>
          <t>08:26 15:32 15:39</t>
        </is>
      </c>
      <c r="E97" s="4" t="n">
        <v>0.3513888888888889</v>
      </c>
      <c r="F97" s="4" t="n">
        <v>0.6520833333333333</v>
      </c>
      <c r="G97" s="3">
        <f>IF($E97="","空卡",IF($F97="","单卡","正常"))</f>
        <v/>
      </c>
      <c r="H97" s="5">
        <f>IF($G97="正常",ROUND(($F97-$E97)*1440,0),"")</f>
        <v/>
      </c>
      <c r="I97" s="6">
        <f>IF($G97="正常",$H97/60,"")</f>
        <v/>
      </c>
      <c r="J97" s="7">
        <f>IF($G97="正常",ROUND($H97/30,0)/2,"")</f>
        <v/>
      </c>
      <c r="K97" s="7">
        <f>IF($G97="正常",MIN($J97,12),"")</f>
        <v/>
      </c>
      <c r="L97" s="7">
        <f>IF($G97="正常",MAX($J97-12,0),"")</f>
        <v/>
      </c>
    </row>
    <row r="98">
      <c r="A98" s="3" t="inlineStr">
        <is>
          <t>熊其容</t>
        </is>
      </c>
      <c r="B98" s="3" t="inlineStr">
        <is>
          <t>8/4</t>
        </is>
      </c>
      <c r="C98" s="3" t="inlineStr">
        <is>
          <t>二</t>
        </is>
      </c>
      <c r="D98" s="3" t="inlineStr">
        <is>
          <t>08:54 20:34</t>
        </is>
      </c>
      <c r="E98" s="4" t="n">
        <v>0.3708333333333333</v>
      </c>
      <c r="F98" s="4" t="n">
        <v>0.8569444444444444</v>
      </c>
      <c r="G98" s="3">
        <f>IF($E98="","空卡",IF($F98="","单卡","正常"))</f>
        <v/>
      </c>
      <c r="H98" s="5">
        <f>IF($G98="正常",ROUND(($F98-$E98)*1440,0),"")</f>
        <v/>
      </c>
      <c r="I98" s="6">
        <f>IF($G98="正常",$H98/60,"")</f>
        <v/>
      </c>
      <c r="J98" s="7">
        <f>IF($G98="正常",ROUND($H98/30,0)/2,"")</f>
        <v/>
      </c>
      <c r="K98" s="7">
        <f>IF($G98="正常",MIN($J98,12),"")</f>
        <v/>
      </c>
      <c r="L98" s="7">
        <f>IF($G98="正常",MAX($J98-12,0),"")</f>
        <v/>
      </c>
    </row>
    <row r="99">
      <c r="A99" s="3" t="inlineStr">
        <is>
          <t>熊其容</t>
        </is>
      </c>
      <c r="B99" s="3" t="inlineStr">
        <is>
          <t>8/5</t>
        </is>
      </c>
      <c r="C99" s="3" t="inlineStr">
        <is>
          <t>三</t>
        </is>
      </c>
      <c r="D99" s="3" t="inlineStr">
        <is>
          <t>09:44 19:51</t>
        </is>
      </c>
      <c r="E99" s="4" t="n">
        <v>0.4055555555555556</v>
      </c>
      <c r="F99" s="4" t="n">
        <v>0.8270833333333333</v>
      </c>
      <c r="G99" s="3">
        <f>IF($E99="","空卡",IF($F99="","单卡","正常"))</f>
        <v/>
      </c>
      <c r="H99" s="5">
        <f>IF($G99="正常",ROUND(($F99-$E99)*1440,0),"")</f>
        <v/>
      </c>
      <c r="I99" s="6">
        <f>IF($G99="正常",$H99/60,"")</f>
        <v/>
      </c>
      <c r="J99" s="7">
        <f>IF($G99="正常",ROUND($H99/30,0)/2,"")</f>
        <v/>
      </c>
      <c r="K99" s="7">
        <f>IF($G99="正常",MIN($J99,12),"")</f>
        <v/>
      </c>
      <c r="L99" s="7">
        <f>IF($G99="正常",MAX($J99-12,0),"")</f>
        <v/>
      </c>
    </row>
    <row r="100">
      <c r="A100" s="3" t="inlineStr">
        <is>
          <t>熊其容</t>
        </is>
      </c>
      <c r="B100" s="3" t="inlineStr">
        <is>
          <t>8/6</t>
        </is>
      </c>
      <c r="C100" s="3" t="inlineStr">
        <is>
          <t>四</t>
        </is>
      </c>
      <c r="D100" s="3" t="inlineStr">
        <is>
          <t>08:50 19:03</t>
        </is>
      </c>
      <c r="E100" s="4" t="n">
        <v>0.3680555555555556</v>
      </c>
      <c r="F100" s="4" t="n">
        <v>0.79375</v>
      </c>
      <c r="G100" s="3">
        <f>IF($E100="","空卡",IF($F100="","单卡","正常"))</f>
        <v/>
      </c>
      <c r="H100" s="5">
        <f>IF($G100="正常",ROUND(($F100-$E100)*1440,0),"")</f>
        <v/>
      </c>
      <c r="I100" s="6">
        <f>IF($G100="正常",$H100/60,"")</f>
        <v/>
      </c>
      <c r="J100" s="7">
        <f>IF($G100="正常",ROUND($H100/30,0)/2,"")</f>
        <v/>
      </c>
      <c r="K100" s="7">
        <f>IF($G100="正常",MIN($J100,12),"")</f>
        <v/>
      </c>
      <c r="L100" s="7">
        <f>IF($G100="正常",MAX($J100-12,0),"")</f>
        <v/>
      </c>
    </row>
    <row r="101">
      <c r="A101" s="3" t="inlineStr">
        <is>
          <t>熊其容</t>
        </is>
      </c>
      <c r="B101" s="3" t="inlineStr">
        <is>
          <t>8/7</t>
        </is>
      </c>
      <c r="C101" s="3" t="inlineStr">
        <is>
          <t>五</t>
        </is>
      </c>
      <c r="D101" s="3" t="inlineStr">
        <is>
          <t>07:54 20:08</t>
        </is>
      </c>
      <c r="E101" s="4" t="n">
        <v>0.3291666666666667</v>
      </c>
      <c r="F101" s="4" t="n">
        <v>0.8388888888888889</v>
      </c>
      <c r="G101" s="3">
        <f>IF($E101="","空卡",IF($F101="","单卡","正常"))</f>
        <v/>
      </c>
      <c r="H101" s="5">
        <f>IF($G101="正常",ROUND(($F101-$E101)*1440,0),"")</f>
        <v/>
      </c>
      <c r="I101" s="6">
        <f>IF($G101="正常",$H101/60,"")</f>
        <v/>
      </c>
      <c r="J101" s="7">
        <f>IF($G101="正常",ROUND($H101/30,0)/2,"")</f>
        <v/>
      </c>
      <c r="K101" s="7">
        <f>IF($G101="正常",MIN($J101,12),"")</f>
        <v/>
      </c>
      <c r="L101" s="7">
        <f>IF($G101="正常",MAX($J101-12,0),"")</f>
        <v/>
      </c>
    </row>
    <row r="102">
      <c r="A102" s="3" t="inlineStr">
        <is>
          <t>熊其容</t>
        </is>
      </c>
      <c r="B102" s="3" t="inlineStr">
        <is>
          <t>8/8</t>
        </is>
      </c>
      <c r="C102" s="3" t="inlineStr">
        <is>
          <t>六</t>
        </is>
      </c>
      <c r="D102" s="3" t="inlineStr">
        <is>
          <t>08:25 19:37</t>
        </is>
      </c>
      <c r="E102" s="4" t="n">
        <v>0.3506944444444444</v>
      </c>
      <c r="F102" s="4" t="n">
        <v>0.8173611111111111</v>
      </c>
      <c r="G102" s="3">
        <f>IF($E102="","空卡",IF($F102="","单卡","正常"))</f>
        <v/>
      </c>
      <c r="H102" s="5">
        <f>IF($G102="正常",ROUND(($F102-$E102)*1440,0),"")</f>
        <v/>
      </c>
      <c r="I102" s="6">
        <f>IF($G102="正常",$H102/60,"")</f>
        <v/>
      </c>
      <c r="J102" s="7">
        <f>IF($G102="正常",ROUND($H102/30,0)/2,"")</f>
        <v/>
      </c>
      <c r="K102" s="7">
        <f>IF($G102="正常",MIN($J102,12),"")</f>
        <v/>
      </c>
      <c r="L102" s="7">
        <f>IF($G102="正常",MAX($J102-12,0),"")</f>
        <v/>
      </c>
    </row>
    <row r="103">
      <c r="A103" s="8" t="inlineStr">
        <is>
          <t>熊其容</t>
        </is>
      </c>
      <c r="B103" s="8" t="inlineStr">
        <is>
          <t>8/9</t>
        </is>
      </c>
      <c r="C103" s="8" t="inlineStr">
        <is>
          <t>日</t>
        </is>
      </c>
      <c r="D103" s="8" t="inlineStr"/>
      <c r="E103" s="9" t="n"/>
      <c r="F103" s="9" t="n"/>
      <c r="G103" s="10">
        <f>IF($E103="","空卡",IF($F103="","单卡","正常"))</f>
        <v/>
      </c>
      <c r="H103" s="11">
        <f>IF($G103="正常",ROUND(($F103-$E103)*1440,0),"")</f>
        <v/>
      </c>
      <c r="I103" s="12">
        <f>IF($G103="正常",$H103/60,"")</f>
        <v/>
      </c>
      <c r="J103" s="13">
        <f>IF($G103="正常",ROUND($H103/30,0)/2,"")</f>
        <v/>
      </c>
      <c r="K103" s="13">
        <f>IF($G103="正常",MIN($J103,12),"")</f>
        <v/>
      </c>
      <c r="L103" s="13">
        <f>IF($G103="正常",MAX($J103-12,0),"")</f>
        <v/>
      </c>
    </row>
    <row r="104">
      <c r="A104" s="8" t="inlineStr">
        <is>
          <t>熊其容</t>
        </is>
      </c>
      <c r="B104" s="8" t="inlineStr">
        <is>
          <t>8/10</t>
        </is>
      </c>
      <c r="C104" s="8" t="inlineStr">
        <is>
          <t>一</t>
        </is>
      </c>
      <c r="D104" s="8" t="inlineStr"/>
      <c r="E104" s="9" t="n"/>
      <c r="F104" s="9" t="n"/>
      <c r="G104" s="10">
        <f>IF($E104="","空卡",IF($F104="","单卡","正常"))</f>
        <v/>
      </c>
      <c r="H104" s="11">
        <f>IF($G104="正常",ROUND(($F104-$E104)*1440,0),"")</f>
        <v/>
      </c>
      <c r="I104" s="12">
        <f>IF($G104="正常",$H104/60,"")</f>
        <v/>
      </c>
      <c r="J104" s="13">
        <f>IF($G104="正常",ROUND($H104/30,0)/2,"")</f>
        <v/>
      </c>
      <c r="K104" s="13">
        <f>IF($G104="正常",MIN($J104,12),"")</f>
        <v/>
      </c>
      <c r="L104" s="13">
        <f>IF($G104="正常",MAX($J104-12,0),"")</f>
        <v/>
      </c>
    </row>
    <row r="105">
      <c r="A105" s="8" t="inlineStr">
        <is>
          <t>熊其容</t>
        </is>
      </c>
      <c r="B105" s="8" t="inlineStr">
        <is>
          <t>8/11</t>
        </is>
      </c>
      <c r="C105" s="8" t="inlineStr">
        <is>
          <t>二</t>
        </is>
      </c>
      <c r="D105" s="8" t="inlineStr"/>
      <c r="E105" s="9" t="n"/>
      <c r="F105" s="9" t="n"/>
      <c r="G105" s="10">
        <f>IF($E105="","空卡",IF($F105="","单卡","正常"))</f>
        <v/>
      </c>
      <c r="H105" s="11">
        <f>IF($G105="正常",ROUND(($F105-$E105)*1440,0),"")</f>
        <v/>
      </c>
      <c r="I105" s="12">
        <f>IF($G105="正常",$H105/60,"")</f>
        <v/>
      </c>
      <c r="J105" s="13">
        <f>IF($G105="正常",ROUND($H105/30,0)/2,"")</f>
        <v/>
      </c>
      <c r="K105" s="13">
        <f>IF($G105="正常",MIN($J105,12),"")</f>
        <v/>
      </c>
      <c r="L105" s="13">
        <f>IF($G105="正常",MAX($J105-12,0),"")</f>
        <v/>
      </c>
    </row>
    <row r="106">
      <c r="A106" s="3" t="inlineStr">
        <is>
          <t>熊其容</t>
        </is>
      </c>
      <c r="B106" s="3" t="inlineStr">
        <is>
          <t>8/12</t>
        </is>
      </c>
      <c r="C106" s="3" t="inlineStr">
        <is>
          <t>三</t>
        </is>
      </c>
      <c r="D106" s="3" t="inlineStr">
        <is>
          <t>09:04 18:36</t>
        </is>
      </c>
      <c r="E106" s="4" t="n">
        <v>0.3777777777777778</v>
      </c>
      <c r="F106" s="4" t="n">
        <v>0.775</v>
      </c>
      <c r="G106" s="3">
        <f>IF($E106="","空卡",IF($F106="","单卡","正常"))</f>
        <v/>
      </c>
      <c r="H106" s="5">
        <f>IF($G106="正常",ROUND(($F106-$E106)*1440,0),"")</f>
        <v/>
      </c>
      <c r="I106" s="6">
        <f>IF($G106="正常",$H106/60,"")</f>
        <v/>
      </c>
      <c r="J106" s="7">
        <f>IF($G106="正常",ROUND($H106/30,0)/2,"")</f>
        <v/>
      </c>
      <c r="K106" s="7">
        <f>IF($G106="正常",MIN($J106,12),"")</f>
        <v/>
      </c>
      <c r="L106" s="7">
        <f>IF($G106="正常",MAX($J106-12,0),"")</f>
        <v/>
      </c>
    </row>
    <row r="107">
      <c r="A107" s="3" t="inlineStr">
        <is>
          <t>熊其容</t>
        </is>
      </c>
      <c r="B107" s="3" t="inlineStr">
        <is>
          <t>8/13</t>
        </is>
      </c>
      <c r="C107" s="3" t="inlineStr">
        <is>
          <t>四</t>
        </is>
      </c>
      <c r="D107" s="3" t="inlineStr">
        <is>
          <t>09:56 19:01</t>
        </is>
      </c>
      <c r="E107" s="4" t="n">
        <v>0.4138888888888889</v>
      </c>
      <c r="F107" s="4" t="n">
        <v>0.7923611111111111</v>
      </c>
      <c r="G107" s="3">
        <f>IF($E107="","空卡",IF($F107="","单卡","正常"))</f>
        <v/>
      </c>
      <c r="H107" s="5">
        <f>IF($G107="正常",ROUND(($F107-$E107)*1440,0),"")</f>
        <v/>
      </c>
      <c r="I107" s="6">
        <f>IF($G107="正常",$H107/60,"")</f>
        <v/>
      </c>
      <c r="J107" s="7">
        <f>IF($G107="正常",ROUND($H107/30,0)/2,"")</f>
        <v/>
      </c>
      <c r="K107" s="7">
        <f>IF($G107="正常",MIN($J107,12),"")</f>
        <v/>
      </c>
      <c r="L107" s="7">
        <f>IF($G107="正常",MAX($J107-12,0),"")</f>
        <v/>
      </c>
    </row>
    <row r="108">
      <c r="A108" s="3" t="inlineStr">
        <is>
          <t>熊其容</t>
        </is>
      </c>
      <c r="B108" s="3" t="inlineStr">
        <is>
          <t>8/14</t>
        </is>
      </c>
      <c r="C108" s="3" t="inlineStr">
        <is>
          <t>五</t>
        </is>
      </c>
      <c r="D108" s="3" t="inlineStr">
        <is>
          <t>06:54 20:52</t>
        </is>
      </c>
      <c r="E108" s="4" t="n">
        <v>0.2875</v>
      </c>
      <c r="F108" s="4" t="n">
        <v>0.8694444444444445</v>
      </c>
      <c r="G108" s="3">
        <f>IF($E108="","空卡",IF($F108="","单卡","正常"))</f>
        <v/>
      </c>
      <c r="H108" s="5">
        <f>IF($G108="正常",ROUND(($F108-$E108)*1440,0),"")</f>
        <v/>
      </c>
      <c r="I108" s="6">
        <f>IF($G108="正常",$H108/60,"")</f>
        <v/>
      </c>
      <c r="J108" s="7">
        <f>IF($G108="正常",ROUND($H108/30,0)/2,"")</f>
        <v/>
      </c>
      <c r="K108" s="7">
        <f>IF($G108="正常",MIN($J108,12),"")</f>
        <v/>
      </c>
      <c r="L108" s="7">
        <f>IF($G108="正常",MAX($J108-12,0),"")</f>
        <v/>
      </c>
    </row>
    <row r="109">
      <c r="A109" s="3" t="inlineStr">
        <is>
          <t>熊其容</t>
        </is>
      </c>
      <c r="B109" s="3" t="inlineStr">
        <is>
          <t>8/15</t>
        </is>
      </c>
      <c r="C109" s="3" t="inlineStr">
        <is>
          <t>六</t>
        </is>
      </c>
      <c r="D109" s="3" t="inlineStr">
        <is>
          <t>06:55 19:00</t>
        </is>
      </c>
      <c r="E109" s="4" t="n">
        <v>0.2881944444444444</v>
      </c>
      <c r="F109" s="4" t="n">
        <v>0.7916666666666666</v>
      </c>
      <c r="G109" s="3">
        <f>IF($E109="","空卡",IF($F109="","单卡","正常"))</f>
        <v/>
      </c>
      <c r="H109" s="5">
        <f>IF($G109="正常",ROUND(($F109-$E109)*1440,0),"")</f>
        <v/>
      </c>
      <c r="I109" s="6">
        <f>IF($G109="正常",$H109/60,"")</f>
        <v/>
      </c>
      <c r="J109" s="7">
        <f>IF($G109="正常",ROUND($H109/30,0)/2,"")</f>
        <v/>
      </c>
      <c r="K109" s="7">
        <f>IF($G109="正常",MIN($J109,12),"")</f>
        <v/>
      </c>
      <c r="L109" s="7">
        <f>IF($G109="正常",MAX($J109-12,0),"")</f>
        <v/>
      </c>
    </row>
    <row r="110">
      <c r="A110" s="8" t="inlineStr">
        <is>
          <t>熊其容</t>
        </is>
      </c>
      <c r="B110" s="8" t="inlineStr">
        <is>
          <t>8/16</t>
        </is>
      </c>
      <c r="C110" s="8" t="inlineStr">
        <is>
          <t>日</t>
        </is>
      </c>
      <c r="D110" s="8" t="inlineStr"/>
      <c r="E110" s="9" t="n"/>
      <c r="F110" s="9" t="n"/>
      <c r="G110" s="10">
        <f>IF($E110="","空卡",IF($F110="","单卡","正常"))</f>
        <v/>
      </c>
      <c r="H110" s="11">
        <f>IF($G110="正常",ROUND(($F110-$E110)*1440,0),"")</f>
        <v/>
      </c>
      <c r="I110" s="12">
        <f>IF($G110="正常",$H110/60,"")</f>
        <v/>
      </c>
      <c r="J110" s="13">
        <f>IF($G110="正常",ROUND($H110/30,0)/2,"")</f>
        <v/>
      </c>
      <c r="K110" s="13">
        <f>IF($G110="正常",MIN($J110,12),"")</f>
        <v/>
      </c>
      <c r="L110" s="13">
        <f>IF($G110="正常",MAX($J110-12,0),"")</f>
        <v/>
      </c>
    </row>
    <row r="111">
      <c r="A111" s="3" t="inlineStr">
        <is>
          <t>熊其容</t>
        </is>
      </c>
      <c r="B111" s="3" t="inlineStr">
        <is>
          <t>8/17</t>
        </is>
      </c>
      <c r="C111" s="3" t="inlineStr">
        <is>
          <t>一</t>
        </is>
      </c>
      <c r="D111" s="3" t="inlineStr">
        <is>
          <t>07:56 19:56</t>
        </is>
      </c>
      <c r="E111" s="4" t="n">
        <v>0.3305555555555555</v>
      </c>
      <c r="F111" s="4" t="n">
        <v>0.8305555555555556</v>
      </c>
      <c r="G111" s="3">
        <f>IF($E111="","空卡",IF($F111="","单卡","正常"))</f>
        <v/>
      </c>
      <c r="H111" s="5">
        <f>IF($G111="正常",ROUND(($F111-$E111)*1440,0),"")</f>
        <v/>
      </c>
      <c r="I111" s="6">
        <f>IF($G111="正常",$H111/60,"")</f>
        <v/>
      </c>
      <c r="J111" s="7">
        <f>IF($G111="正常",ROUND($H111/30,0)/2,"")</f>
        <v/>
      </c>
      <c r="K111" s="7">
        <f>IF($G111="正常",MIN($J111,12),"")</f>
        <v/>
      </c>
      <c r="L111" s="7">
        <f>IF($G111="正常",MAX($J111-12,0),"")</f>
        <v/>
      </c>
    </row>
    <row r="112">
      <c r="A112" s="3" t="inlineStr">
        <is>
          <t>熊其容</t>
        </is>
      </c>
      <c r="B112" s="3" t="inlineStr">
        <is>
          <t>8/18</t>
        </is>
      </c>
      <c r="C112" s="3" t="inlineStr">
        <is>
          <t>二</t>
        </is>
      </c>
      <c r="D112" s="3" t="inlineStr">
        <is>
          <t>07:51 18:58</t>
        </is>
      </c>
      <c r="E112" s="4" t="n">
        <v>0.3270833333333333</v>
      </c>
      <c r="F112" s="4" t="n">
        <v>0.7902777777777777</v>
      </c>
      <c r="G112" s="3">
        <f>IF($E112="","空卡",IF($F112="","单卡","正常"))</f>
        <v/>
      </c>
      <c r="H112" s="5">
        <f>IF($G112="正常",ROUND(($F112-$E112)*1440,0),"")</f>
        <v/>
      </c>
      <c r="I112" s="6">
        <f>IF($G112="正常",$H112/60,"")</f>
        <v/>
      </c>
      <c r="J112" s="7">
        <f>IF($G112="正常",ROUND($H112/30,0)/2,"")</f>
        <v/>
      </c>
      <c r="K112" s="7">
        <f>IF($G112="正常",MIN($J112,12),"")</f>
        <v/>
      </c>
      <c r="L112" s="7">
        <f>IF($G112="正常",MAX($J112-12,0),"")</f>
        <v/>
      </c>
    </row>
    <row r="113">
      <c r="A113" s="8" t="inlineStr">
        <is>
          <t>熊其容</t>
        </is>
      </c>
      <c r="B113" s="8" t="inlineStr">
        <is>
          <t>8/19</t>
        </is>
      </c>
      <c r="C113" s="8" t="inlineStr">
        <is>
          <t>三</t>
        </is>
      </c>
      <c r="D113" s="8" t="inlineStr">
        <is>
          <t>20:27</t>
        </is>
      </c>
      <c r="E113" s="9" t="n">
        <v>0.8520833333333333</v>
      </c>
      <c r="F113" s="9" t="n"/>
      <c r="G113" s="10">
        <f>IF($E113="","空卡",IF($F113="","单卡","正常"))</f>
        <v/>
      </c>
      <c r="H113" s="11">
        <f>IF($G113="正常",ROUND(($F113-$E113)*1440,0),"")</f>
        <v/>
      </c>
      <c r="I113" s="12">
        <f>IF($G113="正常",$H113/60,"")</f>
        <v/>
      </c>
      <c r="J113" s="13">
        <f>IF($G113="正常",ROUND($H113/30,0)/2,"")</f>
        <v/>
      </c>
      <c r="K113" s="13">
        <f>IF($G113="正常",MIN($J113,12),"")</f>
        <v/>
      </c>
      <c r="L113" s="13">
        <f>IF($G113="正常",MAX($J113-12,0),"")</f>
        <v/>
      </c>
    </row>
    <row r="114">
      <c r="A114" s="3" t="inlineStr">
        <is>
          <t>熊其容</t>
        </is>
      </c>
      <c r="B114" s="3" t="inlineStr">
        <is>
          <t>8/20</t>
        </is>
      </c>
      <c r="C114" s="3" t="inlineStr">
        <is>
          <t>四</t>
        </is>
      </c>
      <c r="D114" s="3" t="inlineStr">
        <is>
          <t>08:30 19:01</t>
        </is>
      </c>
      <c r="E114" s="4" t="n">
        <v>0.3541666666666667</v>
      </c>
      <c r="F114" s="4" t="n">
        <v>0.7923611111111111</v>
      </c>
      <c r="G114" s="3">
        <f>IF($E114="","空卡",IF($F114="","单卡","正常"))</f>
        <v/>
      </c>
      <c r="H114" s="5">
        <f>IF($G114="正常",ROUND(($F114-$E114)*1440,0),"")</f>
        <v/>
      </c>
      <c r="I114" s="6">
        <f>IF($G114="正常",$H114/60,"")</f>
        <v/>
      </c>
      <c r="J114" s="7">
        <f>IF($G114="正常",ROUND($H114/30,0)/2,"")</f>
        <v/>
      </c>
      <c r="K114" s="7">
        <f>IF($G114="正常",MIN($J114,12),"")</f>
        <v/>
      </c>
      <c r="L114" s="7">
        <f>IF($G114="正常",MAX($J114-12,0),"")</f>
        <v/>
      </c>
    </row>
    <row r="115">
      <c r="A115" s="3" t="inlineStr">
        <is>
          <t>熊其容</t>
        </is>
      </c>
      <c r="B115" s="3" t="inlineStr">
        <is>
          <t>8/21</t>
        </is>
      </c>
      <c r="C115" s="3" t="inlineStr">
        <is>
          <t>五</t>
        </is>
      </c>
      <c r="D115" s="3" t="inlineStr">
        <is>
          <t>06:53 19:05</t>
        </is>
      </c>
      <c r="E115" s="4" t="n">
        <v>0.2868055555555555</v>
      </c>
      <c r="F115" s="4" t="n">
        <v>0.7951388888888888</v>
      </c>
      <c r="G115" s="3">
        <f>IF($E115="","空卡",IF($F115="","单卡","正常"))</f>
        <v/>
      </c>
      <c r="H115" s="5">
        <f>IF($G115="正常",ROUND(($F115-$E115)*1440,0),"")</f>
        <v/>
      </c>
      <c r="I115" s="6">
        <f>IF($G115="正常",$H115/60,"")</f>
        <v/>
      </c>
      <c r="J115" s="7">
        <f>IF($G115="正常",ROUND($H115/30,0)/2,"")</f>
        <v/>
      </c>
      <c r="K115" s="7">
        <f>IF($G115="正常",MIN($J115,12),"")</f>
        <v/>
      </c>
      <c r="L115" s="7">
        <f>IF($G115="正常",MAX($J115-12,0),"")</f>
        <v/>
      </c>
    </row>
    <row r="116">
      <c r="A116" s="3" t="inlineStr">
        <is>
          <t>熊其容</t>
        </is>
      </c>
      <c r="B116" s="3" t="inlineStr">
        <is>
          <t>8/22</t>
        </is>
      </c>
      <c r="C116" s="3" t="inlineStr">
        <is>
          <t>六</t>
        </is>
      </c>
      <c r="D116" s="3" t="inlineStr">
        <is>
          <t>06:58 18:36</t>
        </is>
      </c>
      <c r="E116" s="4" t="n">
        <v>0.2902777777777778</v>
      </c>
      <c r="F116" s="4" t="n">
        <v>0.775</v>
      </c>
      <c r="G116" s="3">
        <f>IF($E116="","空卡",IF($F116="","单卡","正常"))</f>
        <v/>
      </c>
      <c r="H116" s="5">
        <f>IF($G116="正常",ROUND(($F116-$E116)*1440,0),"")</f>
        <v/>
      </c>
      <c r="I116" s="6">
        <f>IF($G116="正常",$H116/60,"")</f>
        <v/>
      </c>
      <c r="J116" s="7">
        <f>IF($G116="正常",ROUND($H116/30,0)/2,"")</f>
        <v/>
      </c>
      <c r="K116" s="7">
        <f>IF($G116="正常",MIN($J116,12),"")</f>
        <v/>
      </c>
      <c r="L116" s="7">
        <f>IF($G116="正常",MAX($J116-12,0),"")</f>
        <v/>
      </c>
    </row>
    <row r="117">
      <c r="A117" s="8" t="inlineStr">
        <is>
          <t>熊其容</t>
        </is>
      </c>
      <c r="B117" s="8" t="inlineStr">
        <is>
          <t>8/23</t>
        </is>
      </c>
      <c r="C117" s="8" t="inlineStr">
        <is>
          <t>日</t>
        </is>
      </c>
      <c r="D117" s="8" t="inlineStr"/>
      <c r="E117" s="9" t="n"/>
      <c r="F117" s="9" t="n"/>
      <c r="G117" s="10">
        <f>IF($E117="","空卡",IF($F117="","单卡","正常"))</f>
        <v/>
      </c>
      <c r="H117" s="11">
        <f>IF($G117="正常",ROUND(($F117-$E117)*1440,0),"")</f>
        <v/>
      </c>
      <c r="I117" s="12">
        <f>IF($G117="正常",$H117/60,"")</f>
        <v/>
      </c>
      <c r="J117" s="13">
        <f>IF($G117="正常",ROUND($H117/30,0)/2,"")</f>
        <v/>
      </c>
      <c r="K117" s="13">
        <f>IF($G117="正常",MIN($J117,12),"")</f>
        <v/>
      </c>
      <c r="L117" s="13">
        <f>IF($G117="正常",MAX($J117-12,0),"")</f>
        <v/>
      </c>
    </row>
    <row r="118">
      <c r="A118" s="3" t="inlineStr">
        <is>
          <t>熊其容</t>
        </is>
      </c>
      <c r="B118" s="3" t="inlineStr">
        <is>
          <t>8/24</t>
        </is>
      </c>
      <c r="C118" s="3" t="inlineStr">
        <is>
          <t>一</t>
        </is>
      </c>
      <c r="D118" s="3" t="inlineStr">
        <is>
          <t>06:59 16:40</t>
        </is>
      </c>
      <c r="E118" s="4" t="n">
        <v>0.2909722222222222</v>
      </c>
      <c r="F118" s="4" t="n">
        <v>0.6944444444444444</v>
      </c>
      <c r="G118" s="3">
        <f>IF($E118="","空卡",IF($F118="","单卡","正常"))</f>
        <v/>
      </c>
      <c r="H118" s="5">
        <f>IF($G118="正常",ROUND(($F118-$E118)*1440,0),"")</f>
        <v/>
      </c>
      <c r="I118" s="6">
        <f>IF($G118="正常",$H118/60,"")</f>
        <v/>
      </c>
      <c r="J118" s="7">
        <f>IF($G118="正常",ROUND($H118/30,0)/2,"")</f>
        <v/>
      </c>
      <c r="K118" s="7">
        <f>IF($G118="正常",MIN($J118,12),"")</f>
        <v/>
      </c>
      <c r="L118" s="7">
        <f>IF($G118="正常",MAX($J118-12,0),"")</f>
        <v/>
      </c>
    </row>
    <row r="119">
      <c r="A119" s="3" t="inlineStr">
        <is>
          <t>熊其容</t>
        </is>
      </c>
      <c r="B119" s="3" t="inlineStr">
        <is>
          <t>8/25</t>
        </is>
      </c>
      <c r="C119" s="3" t="inlineStr">
        <is>
          <t>二</t>
        </is>
      </c>
      <c r="D119" s="3" t="inlineStr">
        <is>
          <t>07:59 18:37</t>
        </is>
      </c>
      <c r="E119" s="4" t="n">
        <v>0.3326388888888889</v>
      </c>
      <c r="F119" s="4" t="n">
        <v>0.7756944444444445</v>
      </c>
      <c r="G119" s="3">
        <f>IF($E119="","空卡",IF($F119="","单卡","正常"))</f>
        <v/>
      </c>
      <c r="H119" s="5">
        <f>IF($G119="正常",ROUND(($F119-$E119)*1440,0),"")</f>
        <v/>
      </c>
      <c r="I119" s="6">
        <f>IF($G119="正常",$H119/60,"")</f>
        <v/>
      </c>
      <c r="J119" s="7">
        <f>IF($G119="正常",ROUND($H119/30,0)/2,"")</f>
        <v/>
      </c>
      <c r="K119" s="7">
        <f>IF($G119="正常",MIN($J119,12),"")</f>
        <v/>
      </c>
      <c r="L119" s="7">
        <f>IF($G119="正常",MAX($J119-12,0),"")</f>
        <v/>
      </c>
    </row>
    <row r="120">
      <c r="A120" s="3" t="inlineStr">
        <is>
          <t>熊其容</t>
        </is>
      </c>
      <c r="B120" s="3" t="inlineStr">
        <is>
          <t>8/26</t>
        </is>
      </c>
      <c r="C120" s="3" t="inlineStr">
        <is>
          <t>三</t>
        </is>
      </c>
      <c r="D120" s="3" t="inlineStr">
        <is>
          <t>07:52 19:01</t>
        </is>
      </c>
      <c r="E120" s="4" t="n">
        <v>0.3277777777777778</v>
      </c>
      <c r="F120" s="4" t="n">
        <v>0.7923611111111111</v>
      </c>
      <c r="G120" s="3">
        <f>IF($E120="","空卡",IF($F120="","单卡","正常"))</f>
        <v/>
      </c>
      <c r="H120" s="5">
        <f>IF($G120="正常",ROUND(($F120-$E120)*1440,0),"")</f>
        <v/>
      </c>
      <c r="I120" s="6">
        <f>IF($G120="正常",$H120/60,"")</f>
        <v/>
      </c>
      <c r="J120" s="7">
        <f>IF($G120="正常",ROUND($H120/30,0)/2,"")</f>
        <v/>
      </c>
      <c r="K120" s="7">
        <f>IF($G120="正常",MIN($J120,12),"")</f>
        <v/>
      </c>
      <c r="L120" s="7">
        <f>IF($G120="正常",MAX($J120-12,0),"")</f>
        <v/>
      </c>
    </row>
    <row r="121">
      <c r="A121" s="3" t="inlineStr">
        <is>
          <t>熊其容</t>
        </is>
      </c>
      <c r="B121" s="3" t="inlineStr">
        <is>
          <t>8/27</t>
        </is>
      </c>
      <c r="C121" s="3" t="inlineStr">
        <is>
          <t>四</t>
        </is>
      </c>
      <c r="D121" s="3" t="inlineStr">
        <is>
          <t>07:49 19:06</t>
        </is>
      </c>
      <c r="E121" s="4" t="n">
        <v>0.3256944444444445</v>
      </c>
      <c r="F121" s="4" t="n">
        <v>0.7958333333333333</v>
      </c>
      <c r="G121" s="3">
        <f>IF($E121="","空卡",IF($F121="","单卡","正常"))</f>
        <v/>
      </c>
      <c r="H121" s="5">
        <f>IF($G121="正常",ROUND(($F121-$E121)*1440,0),"")</f>
        <v/>
      </c>
      <c r="I121" s="6">
        <f>IF($G121="正常",$H121/60,"")</f>
        <v/>
      </c>
      <c r="J121" s="7">
        <f>IF($G121="正常",ROUND($H121/30,0)/2,"")</f>
        <v/>
      </c>
      <c r="K121" s="7">
        <f>IF($G121="正常",MIN($J121,12),"")</f>
        <v/>
      </c>
      <c r="L121" s="7">
        <f>IF($G121="正常",MAX($J121-12,0),"")</f>
        <v/>
      </c>
    </row>
    <row r="122">
      <c r="A122" s="3" t="inlineStr">
        <is>
          <t>熊其容</t>
        </is>
      </c>
      <c r="B122" s="3" t="inlineStr">
        <is>
          <t>8/28</t>
        </is>
      </c>
      <c r="C122" s="3" t="inlineStr">
        <is>
          <t>五</t>
        </is>
      </c>
      <c r="D122" s="3" t="inlineStr">
        <is>
          <t>07:56 19:30</t>
        </is>
      </c>
      <c r="E122" s="4" t="n">
        <v>0.3305555555555555</v>
      </c>
      <c r="F122" s="4" t="n">
        <v>0.8125</v>
      </c>
      <c r="G122" s="3">
        <f>IF($E122="","空卡",IF($F122="","单卡","正常"))</f>
        <v/>
      </c>
      <c r="H122" s="5">
        <f>IF($G122="正常",ROUND(($F122-$E122)*1440,0),"")</f>
        <v/>
      </c>
      <c r="I122" s="6">
        <f>IF($G122="正常",$H122/60,"")</f>
        <v/>
      </c>
      <c r="J122" s="7">
        <f>IF($G122="正常",ROUND($H122/30,0)/2,"")</f>
        <v/>
      </c>
      <c r="K122" s="7">
        <f>IF($G122="正常",MIN($J122,12),"")</f>
        <v/>
      </c>
      <c r="L122" s="7">
        <f>IF($G122="正常",MAX($J122-12,0),"")</f>
        <v/>
      </c>
    </row>
    <row r="123">
      <c r="A123" s="3" t="inlineStr">
        <is>
          <t>熊其容</t>
        </is>
      </c>
      <c r="B123" s="3" t="inlineStr">
        <is>
          <t>8/29</t>
        </is>
      </c>
      <c r="C123" s="3" t="inlineStr">
        <is>
          <t>六</t>
        </is>
      </c>
      <c r="D123" s="3" t="inlineStr">
        <is>
          <t>07:52 21:57</t>
        </is>
      </c>
      <c r="E123" s="4" t="n">
        <v>0.3277777777777778</v>
      </c>
      <c r="F123" s="4" t="n">
        <v>0.9145833333333333</v>
      </c>
      <c r="G123" s="3">
        <f>IF($E123="","空卡",IF($F123="","单卡","正常"))</f>
        <v/>
      </c>
      <c r="H123" s="5">
        <f>IF($G123="正常",ROUND(($F123-$E123)*1440,0),"")</f>
        <v/>
      </c>
      <c r="I123" s="6">
        <f>IF($G123="正常",$H123/60,"")</f>
        <v/>
      </c>
      <c r="J123" s="7">
        <f>IF($G123="正常",ROUND($H123/30,0)/2,"")</f>
        <v/>
      </c>
      <c r="K123" s="7">
        <f>IF($G123="正常",MIN($J123,12),"")</f>
        <v/>
      </c>
      <c r="L123" s="7">
        <f>IF($G123="正常",MAX($J123-12,0),"")</f>
        <v/>
      </c>
    </row>
    <row r="124">
      <c r="A124" s="3" t="inlineStr">
        <is>
          <t>熊其容</t>
        </is>
      </c>
      <c r="B124" s="3" t="inlineStr">
        <is>
          <t>8/30</t>
        </is>
      </c>
      <c r="C124" s="3" t="inlineStr">
        <is>
          <t>日</t>
        </is>
      </c>
      <c r="D124" s="3" t="inlineStr">
        <is>
          <t>07:55 19:28</t>
        </is>
      </c>
      <c r="E124" s="4" t="n">
        <v>0.3298611111111111</v>
      </c>
      <c r="F124" s="4" t="n">
        <v>0.8111111111111111</v>
      </c>
      <c r="G124" s="3">
        <f>IF($E124="","空卡",IF($F124="","单卡","正常"))</f>
        <v/>
      </c>
      <c r="H124" s="5">
        <f>IF($G124="正常",ROUND(($F124-$E124)*1440,0),"")</f>
        <v/>
      </c>
      <c r="I124" s="6">
        <f>IF($G124="正常",$H124/60,"")</f>
        <v/>
      </c>
      <c r="J124" s="7">
        <f>IF($G124="正常",ROUND($H124/30,0)/2,"")</f>
        <v/>
      </c>
      <c r="K124" s="7">
        <f>IF($G124="正常",MIN($J124,12),"")</f>
        <v/>
      </c>
      <c r="L124" s="7">
        <f>IF($G124="正常",MAX($J124-12,0),"")</f>
        <v/>
      </c>
    </row>
    <row r="125">
      <c r="A125" s="8" t="inlineStr">
        <is>
          <t>熊其容</t>
        </is>
      </c>
      <c r="B125" s="8" t="inlineStr">
        <is>
          <t>8/31</t>
        </is>
      </c>
      <c r="C125" s="8" t="inlineStr">
        <is>
          <t>一</t>
        </is>
      </c>
      <c r="D125" s="8" t="inlineStr"/>
      <c r="E125" s="9" t="n"/>
      <c r="F125" s="9" t="n"/>
      <c r="G125" s="10">
        <f>IF($E125="","空卡",IF($F125="","单卡","正常"))</f>
        <v/>
      </c>
      <c r="H125" s="11">
        <f>IF($G125="正常",ROUND(($F125-$E125)*1440,0),"")</f>
        <v/>
      </c>
      <c r="I125" s="12">
        <f>IF($G125="正常",$H125/60,"")</f>
        <v/>
      </c>
      <c r="J125" s="13">
        <f>IF($G125="正常",ROUND($H125/30,0)/2,"")</f>
        <v/>
      </c>
      <c r="K125" s="13">
        <f>IF($G125="正常",MIN($J125,12),"")</f>
        <v/>
      </c>
      <c r="L125" s="13">
        <f>IF($G125="正常",MAX($J125-12,0),"")</f>
        <v/>
      </c>
    </row>
    <row r="126">
      <c r="A126" s="8" t="inlineStr">
        <is>
          <t>范云</t>
        </is>
      </c>
      <c r="B126" s="8" t="inlineStr">
        <is>
          <t>8/1</t>
        </is>
      </c>
      <c r="C126" s="8" t="inlineStr">
        <is>
          <t>六</t>
        </is>
      </c>
      <c r="D126" s="8" t="inlineStr"/>
      <c r="E126" s="9" t="n"/>
      <c r="F126" s="9" t="n"/>
      <c r="G126" s="10">
        <f>IF($E126="","空卡",IF($F126="","单卡","正常"))</f>
        <v/>
      </c>
      <c r="H126" s="11">
        <f>IF($G126="正常",ROUND(($F126-$E126)*1440,0),"")</f>
        <v/>
      </c>
      <c r="I126" s="12">
        <f>IF($G126="正常",$H126/60,"")</f>
        <v/>
      </c>
      <c r="J126" s="13">
        <f>IF($G126="正常",ROUND($H126/30,0)/2,"")</f>
        <v/>
      </c>
      <c r="K126" s="13">
        <f>IF($G126="正常",MIN($J126,12),"")</f>
        <v/>
      </c>
      <c r="L126" s="13">
        <f>IF($G126="正常",MAX($J126-12,0),"")</f>
        <v/>
      </c>
    </row>
    <row r="127">
      <c r="A127" s="3" t="inlineStr">
        <is>
          <t>范云</t>
        </is>
      </c>
      <c r="B127" s="3" t="inlineStr">
        <is>
          <t>8/2</t>
        </is>
      </c>
      <c r="C127" s="3" t="inlineStr">
        <is>
          <t>日</t>
        </is>
      </c>
      <c r="D127" s="3" t="inlineStr">
        <is>
          <t>07:55 15:08</t>
        </is>
      </c>
      <c r="E127" s="4" t="n">
        <v>0.3298611111111111</v>
      </c>
      <c r="F127" s="4" t="n">
        <v>0.6305555555555555</v>
      </c>
      <c r="G127" s="3">
        <f>IF($E127="","空卡",IF($F127="","单卡","正常"))</f>
        <v/>
      </c>
      <c r="H127" s="5">
        <f>IF($G127="正常",ROUND(($F127-$E127)*1440,0),"")</f>
        <v/>
      </c>
      <c r="I127" s="6">
        <f>IF($G127="正常",$H127/60,"")</f>
        <v/>
      </c>
      <c r="J127" s="7">
        <f>IF($G127="正常",ROUND($H127/30,0)/2,"")</f>
        <v/>
      </c>
      <c r="K127" s="7">
        <f>IF($G127="正常",MIN($J127,12),"")</f>
        <v/>
      </c>
      <c r="L127" s="7">
        <f>IF($G127="正常",MAX($J127-12,0),"")</f>
        <v/>
      </c>
    </row>
    <row r="128">
      <c r="A128" s="3" t="inlineStr">
        <is>
          <t>范云</t>
        </is>
      </c>
      <c r="B128" s="3" t="inlineStr">
        <is>
          <t>8/3</t>
        </is>
      </c>
      <c r="C128" s="3" t="inlineStr">
        <is>
          <t>一</t>
        </is>
      </c>
      <c r="D128" s="3" t="inlineStr">
        <is>
          <t>08:18 15:30</t>
        </is>
      </c>
      <c r="E128" s="4" t="n">
        <v>0.3458333333333333</v>
      </c>
      <c r="F128" s="4" t="n">
        <v>0.6458333333333334</v>
      </c>
      <c r="G128" s="3">
        <f>IF($E128="","空卡",IF($F128="","单卡","正常"))</f>
        <v/>
      </c>
      <c r="H128" s="5">
        <f>IF($G128="正常",ROUND(($F128-$E128)*1440,0),"")</f>
        <v/>
      </c>
      <c r="I128" s="6">
        <f>IF($G128="正常",$H128/60,"")</f>
        <v/>
      </c>
      <c r="J128" s="7">
        <f>IF($G128="正常",ROUND($H128/30,0)/2,"")</f>
        <v/>
      </c>
      <c r="K128" s="7">
        <f>IF($G128="正常",MIN($J128,12),"")</f>
        <v/>
      </c>
      <c r="L128" s="7">
        <f>IF($G128="正常",MAX($J128-12,0),"")</f>
        <v/>
      </c>
    </row>
    <row r="129">
      <c r="A129" s="8" t="inlineStr">
        <is>
          <t>范云</t>
        </is>
      </c>
      <c r="B129" s="8" t="inlineStr">
        <is>
          <t>8/4</t>
        </is>
      </c>
      <c r="C129" s="8" t="inlineStr">
        <is>
          <t>二</t>
        </is>
      </c>
      <c r="D129" s="8" t="inlineStr"/>
      <c r="E129" s="9" t="n"/>
      <c r="F129" s="9" t="n"/>
      <c r="G129" s="10">
        <f>IF($E129="","空卡",IF($F129="","单卡","正常"))</f>
        <v/>
      </c>
      <c r="H129" s="11">
        <f>IF($G129="正常",ROUND(($F129-$E129)*1440,0),"")</f>
        <v/>
      </c>
      <c r="I129" s="12">
        <f>IF($G129="正常",$H129/60,"")</f>
        <v/>
      </c>
      <c r="J129" s="13">
        <f>IF($G129="正常",ROUND($H129/30,0)/2,"")</f>
        <v/>
      </c>
      <c r="K129" s="13">
        <f>IF($G129="正常",MIN($J129,12),"")</f>
        <v/>
      </c>
      <c r="L129" s="13">
        <f>IF($G129="正常",MAX($J129-12,0),"")</f>
        <v/>
      </c>
    </row>
    <row r="130">
      <c r="A130" s="8" t="inlineStr">
        <is>
          <t>范云</t>
        </is>
      </c>
      <c r="B130" s="8" t="inlineStr">
        <is>
          <t>8/5</t>
        </is>
      </c>
      <c r="C130" s="8" t="inlineStr">
        <is>
          <t>三</t>
        </is>
      </c>
      <c r="D130" s="8" t="inlineStr"/>
      <c r="E130" s="9" t="n"/>
      <c r="F130" s="9" t="n"/>
      <c r="G130" s="10">
        <f>IF($E130="","空卡",IF($F130="","单卡","正常"))</f>
        <v/>
      </c>
      <c r="H130" s="11">
        <f>IF($G130="正常",ROUND(($F130-$E130)*1440,0),"")</f>
        <v/>
      </c>
      <c r="I130" s="12">
        <f>IF($G130="正常",$H130/60,"")</f>
        <v/>
      </c>
      <c r="J130" s="13">
        <f>IF($G130="正常",ROUND($H130/30,0)/2,"")</f>
        <v/>
      </c>
      <c r="K130" s="13">
        <f>IF($G130="正常",MIN($J130,12),"")</f>
        <v/>
      </c>
      <c r="L130" s="13">
        <f>IF($G130="正常",MAX($J130-12,0),"")</f>
        <v/>
      </c>
    </row>
    <row r="131">
      <c r="A131" s="3" t="inlineStr">
        <is>
          <t>范云</t>
        </is>
      </c>
      <c r="B131" s="3" t="inlineStr">
        <is>
          <t>8/6</t>
        </is>
      </c>
      <c r="C131" s="3" t="inlineStr">
        <is>
          <t>四</t>
        </is>
      </c>
      <c r="D131" s="3" t="inlineStr">
        <is>
          <t>08:46 19:01</t>
        </is>
      </c>
      <c r="E131" s="4" t="n">
        <v>0.3652777777777778</v>
      </c>
      <c r="F131" s="4" t="n">
        <v>0.7923611111111111</v>
      </c>
      <c r="G131" s="3">
        <f>IF($E131="","空卡",IF($F131="","单卡","正常"))</f>
        <v/>
      </c>
      <c r="H131" s="5">
        <f>IF($G131="正常",ROUND(($F131-$E131)*1440,0),"")</f>
        <v/>
      </c>
      <c r="I131" s="6">
        <f>IF($G131="正常",$H131/60,"")</f>
        <v/>
      </c>
      <c r="J131" s="7">
        <f>IF($G131="正常",ROUND($H131/30,0)/2,"")</f>
        <v/>
      </c>
      <c r="K131" s="7">
        <f>IF($G131="正常",MIN($J131,12),"")</f>
        <v/>
      </c>
      <c r="L131" s="7">
        <f>IF($G131="正常",MAX($J131-12,0),"")</f>
        <v/>
      </c>
    </row>
    <row r="132">
      <c r="A132" s="3" t="inlineStr">
        <is>
          <t>范云</t>
        </is>
      </c>
      <c r="B132" s="3" t="inlineStr">
        <is>
          <t>8/7</t>
        </is>
      </c>
      <c r="C132" s="3" t="inlineStr">
        <is>
          <t>五</t>
        </is>
      </c>
      <c r="D132" s="3" t="inlineStr">
        <is>
          <t>07:50 19:30</t>
        </is>
      </c>
      <c r="E132" s="4" t="n">
        <v>0.3263888888888889</v>
      </c>
      <c r="F132" s="4" t="n">
        <v>0.8125</v>
      </c>
      <c r="G132" s="3">
        <f>IF($E132="","空卡",IF($F132="","单卡","正常"))</f>
        <v/>
      </c>
      <c r="H132" s="5">
        <f>IF($G132="正常",ROUND(($F132-$E132)*1440,0),"")</f>
        <v/>
      </c>
      <c r="I132" s="6">
        <f>IF($G132="正常",$H132/60,"")</f>
        <v/>
      </c>
      <c r="J132" s="7">
        <f>IF($G132="正常",ROUND($H132/30,0)/2,"")</f>
        <v/>
      </c>
      <c r="K132" s="7">
        <f>IF($G132="正常",MIN($J132,12),"")</f>
        <v/>
      </c>
      <c r="L132" s="7">
        <f>IF($G132="正常",MAX($J132-12,0),"")</f>
        <v/>
      </c>
    </row>
    <row r="133">
      <c r="A133" s="3" t="inlineStr">
        <is>
          <t>范云</t>
        </is>
      </c>
      <c r="B133" s="3" t="inlineStr">
        <is>
          <t>8/8</t>
        </is>
      </c>
      <c r="C133" s="3" t="inlineStr">
        <is>
          <t>六</t>
        </is>
      </c>
      <c r="D133" s="3" t="inlineStr">
        <is>
          <t>08:15 19:38</t>
        </is>
      </c>
      <c r="E133" s="4" t="n">
        <v>0.34375</v>
      </c>
      <c r="F133" s="4" t="n">
        <v>0.8180555555555555</v>
      </c>
      <c r="G133" s="3">
        <f>IF($E133="","空卡",IF($F133="","单卡","正常"))</f>
        <v/>
      </c>
      <c r="H133" s="5">
        <f>IF($G133="正常",ROUND(($F133-$E133)*1440,0),"")</f>
        <v/>
      </c>
      <c r="I133" s="6">
        <f>IF($G133="正常",$H133/60,"")</f>
        <v/>
      </c>
      <c r="J133" s="7">
        <f>IF($G133="正常",ROUND($H133/30,0)/2,"")</f>
        <v/>
      </c>
      <c r="K133" s="7">
        <f>IF($G133="正常",MIN($J133,12),"")</f>
        <v/>
      </c>
      <c r="L133" s="7">
        <f>IF($G133="正常",MAX($J133-12,0),"")</f>
        <v/>
      </c>
    </row>
    <row r="134">
      <c r="A134" s="8" t="inlineStr">
        <is>
          <t>范云</t>
        </is>
      </c>
      <c r="B134" s="8" t="inlineStr">
        <is>
          <t>8/9</t>
        </is>
      </c>
      <c r="C134" s="8" t="inlineStr">
        <is>
          <t>日</t>
        </is>
      </c>
      <c r="D134" s="8" t="inlineStr"/>
      <c r="E134" s="9" t="n"/>
      <c r="F134" s="9" t="n"/>
      <c r="G134" s="10">
        <f>IF($E134="","空卡",IF($F134="","单卡","正常"))</f>
        <v/>
      </c>
      <c r="H134" s="11">
        <f>IF($G134="正常",ROUND(($F134-$E134)*1440,0),"")</f>
        <v/>
      </c>
      <c r="I134" s="12">
        <f>IF($G134="正常",$H134/60,"")</f>
        <v/>
      </c>
      <c r="J134" s="13">
        <f>IF($G134="正常",ROUND($H134/30,0)/2,"")</f>
        <v/>
      </c>
      <c r="K134" s="13">
        <f>IF($G134="正常",MIN($J134,12),"")</f>
        <v/>
      </c>
      <c r="L134" s="13">
        <f>IF($G134="正常",MAX($J134-12,0),"")</f>
        <v/>
      </c>
    </row>
    <row r="135">
      <c r="A135" s="3" t="inlineStr">
        <is>
          <t>范云</t>
        </is>
      </c>
      <c r="B135" s="3" t="inlineStr">
        <is>
          <t>8/10</t>
        </is>
      </c>
      <c r="C135" s="3" t="inlineStr">
        <is>
          <t>一</t>
        </is>
      </c>
      <c r="D135" s="3" t="inlineStr">
        <is>
          <t>08:22 19:57</t>
        </is>
      </c>
      <c r="E135" s="4" t="n">
        <v>0.3486111111111111</v>
      </c>
      <c r="F135" s="4" t="n">
        <v>0.83125</v>
      </c>
      <c r="G135" s="3">
        <f>IF($E135="","空卡",IF($F135="","单卡","正常"))</f>
        <v/>
      </c>
      <c r="H135" s="5">
        <f>IF($G135="正常",ROUND(($F135-$E135)*1440,0),"")</f>
        <v/>
      </c>
      <c r="I135" s="6">
        <f>IF($G135="正常",$H135/60,"")</f>
        <v/>
      </c>
      <c r="J135" s="7">
        <f>IF($G135="正常",ROUND($H135/30,0)/2,"")</f>
        <v/>
      </c>
      <c r="K135" s="7">
        <f>IF($G135="正常",MIN($J135,12),"")</f>
        <v/>
      </c>
      <c r="L135" s="7">
        <f>IF($G135="正常",MAX($J135-12,0),"")</f>
        <v/>
      </c>
    </row>
    <row r="136">
      <c r="A136" s="3" t="inlineStr">
        <is>
          <t>范云</t>
        </is>
      </c>
      <c r="B136" s="3" t="inlineStr">
        <is>
          <t>8/11</t>
        </is>
      </c>
      <c r="C136" s="3" t="inlineStr">
        <is>
          <t>二</t>
        </is>
      </c>
      <c r="D136" s="3" t="inlineStr">
        <is>
          <t>08:22 18:07</t>
        </is>
      </c>
      <c r="E136" s="4" t="n">
        <v>0.3486111111111111</v>
      </c>
      <c r="F136" s="4" t="n">
        <v>0.7548611111111111</v>
      </c>
      <c r="G136" s="3">
        <f>IF($E136="","空卡",IF($F136="","单卡","正常"))</f>
        <v/>
      </c>
      <c r="H136" s="5">
        <f>IF($G136="正常",ROUND(($F136-$E136)*1440,0),"")</f>
        <v/>
      </c>
      <c r="I136" s="6">
        <f>IF($G136="正常",$H136/60,"")</f>
        <v/>
      </c>
      <c r="J136" s="7">
        <f>IF($G136="正常",ROUND($H136/30,0)/2,"")</f>
        <v/>
      </c>
      <c r="K136" s="7">
        <f>IF($G136="正常",MIN($J136,12),"")</f>
        <v/>
      </c>
      <c r="L136" s="7">
        <f>IF($G136="正常",MAX($J136-12,0),"")</f>
        <v/>
      </c>
    </row>
    <row r="137">
      <c r="A137" s="3" t="inlineStr">
        <is>
          <t>范云</t>
        </is>
      </c>
      <c r="B137" s="3" t="inlineStr">
        <is>
          <t>8/12</t>
        </is>
      </c>
      <c r="C137" s="3" t="inlineStr">
        <is>
          <t>三</t>
        </is>
      </c>
      <c r="D137" s="3" t="inlineStr">
        <is>
          <t>09:48 18:34</t>
        </is>
      </c>
      <c r="E137" s="4" t="n">
        <v>0.4083333333333333</v>
      </c>
      <c r="F137" s="4" t="n">
        <v>0.7736111111111111</v>
      </c>
      <c r="G137" s="3">
        <f>IF($E137="","空卡",IF($F137="","单卡","正常"))</f>
        <v/>
      </c>
      <c r="H137" s="5">
        <f>IF($G137="正常",ROUND(($F137-$E137)*1440,0),"")</f>
        <v/>
      </c>
      <c r="I137" s="6">
        <f>IF($G137="正常",$H137/60,"")</f>
        <v/>
      </c>
      <c r="J137" s="7">
        <f>IF($G137="正常",ROUND($H137/30,0)/2,"")</f>
        <v/>
      </c>
      <c r="K137" s="7">
        <f>IF($G137="正常",MIN($J137,12),"")</f>
        <v/>
      </c>
      <c r="L137" s="7">
        <f>IF($G137="正常",MAX($J137-12,0),"")</f>
        <v/>
      </c>
    </row>
    <row r="138">
      <c r="A138" s="3" t="inlineStr">
        <is>
          <t>范云</t>
        </is>
      </c>
      <c r="B138" s="3" t="inlineStr">
        <is>
          <t>8/13</t>
        </is>
      </c>
      <c r="C138" s="3" t="inlineStr">
        <is>
          <t>四</t>
        </is>
      </c>
      <c r="D138" s="3" t="inlineStr">
        <is>
          <t>08:21 19:02</t>
        </is>
      </c>
      <c r="E138" s="4" t="n">
        <v>0.3479166666666667</v>
      </c>
      <c r="F138" s="4" t="n">
        <v>0.7930555555555555</v>
      </c>
      <c r="G138" s="3">
        <f>IF($E138="","空卡",IF($F138="","单卡","正常"))</f>
        <v/>
      </c>
      <c r="H138" s="5">
        <f>IF($G138="正常",ROUND(($F138-$E138)*1440,0),"")</f>
        <v/>
      </c>
      <c r="I138" s="6">
        <f>IF($G138="正常",$H138/60,"")</f>
        <v/>
      </c>
      <c r="J138" s="7">
        <f>IF($G138="正常",ROUND($H138/30,0)/2,"")</f>
        <v/>
      </c>
      <c r="K138" s="7">
        <f>IF($G138="正常",MIN($J138,12),"")</f>
        <v/>
      </c>
      <c r="L138" s="7">
        <f>IF($G138="正常",MAX($J138-12,0),"")</f>
        <v/>
      </c>
    </row>
    <row r="139">
      <c r="A139" s="3" t="inlineStr">
        <is>
          <t>范云</t>
        </is>
      </c>
      <c r="B139" s="3" t="inlineStr">
        <is>
          <t>8/14</t>
        </is>
      </c>
      <c r="C139" s="3" t="inlineStr">
        <is>
          <t>五</t>
        </is>
      </c>
      <c r="D139" s="3" t="inlineStr">
        <is>
          <t>08:19 20:56</t>
        </is>
      </c>
      <c r="E139" s="4" t="n">
        <v>0.3465277777777778</v>
      </c>
      <c r="F139" s="4" t="n">
        <v>0.8722222222222222</v>
      </c>
      <c r="G139" s="3">
        <f>IF($E139="","空卡",IF($F139="","单卡","正常"))</f>
        <v/>
      </c>
      <c r="H139" s="5">
        <f>IF($G139="正常",ROUND(($F139-$E139)*1440,0),"")</f>
        <v/>
      </c>
      <c r="I139" s="6">
        <f>IF($G139="正常",$H139/60,"")</f>
        <v/>
      </c>
      <c r="J139" s="7">
        <f>IF($G139="正常",ROUND($H139/30,0)/2,"")</f>
        <v/>
      </c>
      <c r="K139" s="7">
        <f>IF($G139="正常",MIN($J139,12),"")</f>
        <v/>
      </c>
      <c r="L139" s="7">
        <f>IF($G139="正常",MAX($J139-12,0),"")</f>
        <v/>
      </c>
    </row>
    <row r="140">
      <c r="A140" s="3" t="inlineStr">
        <is>
          <t>范云</t>
        </is>
      </c>
      <c r="B140" s="3" t="inlineStr">
        <is>
          <t>8/15</t>
        </is>
      </c>
      <c r="C140" s="3" t="inlineStr">
        <is>
          <t>六</t>
        </is>
      </c>
      <c r="D140" s="3" t="inlineStr">
        <is>
          <t>06:56 19:01</t>
        </is>
      </c>
      <c r="E140" s="4" t="n">
        <v>0.2888888888888889</v>
      </c>
      <c r="F140" s="4" t="n">
        <v>0.7923611111111111</v>
      </c>
      <c r="G140" s="3">
        <f>IF($E140="","空卡",IF($F140="","单卡","正常"))</f>
        <v/>
      </c>
      <c r="H140" s="5">
        <f>IF($G140="正常",ROUND(($F140-$E140)*1440,0),"")</f>
        <v/>
      </c>
      <c r="I140" s="6">
        <f>IF($G140="正常",$H140/60,"")</f>
        <v/>
      </c>
      <c r="J140" s="7">
        <f>IF($G140="正常",ROUND($H140/30,0)/2,"")</f>
        <v/>
      </c>
      <c r="K140" s="7">
        <f>IF($G140="正常",MIN($J140,12),"")</f>
        <v/>
      </c>
      <c r="L140" s="7">
        <f>IF($G140="正常",MAX($J140-12,0),"")</f>
        <v/>
      </c>
    </row>
    <row r="141">
      <c r="A141" s="8" t="inlineStr">
        <is>
          <t>范云</t>
        </is>
      </c>
      <c r="B141" s="8" t="inlineStr">
        <is>
          <t>8/16</t>
        </is>
      </c>
      <c r="C141" s="8" t="inlineStr">
        <is>
          <t>日</t>
        </is>
      </c>
      <c r="D141" s="8" t="inlineStr"/>
      <c r="E141" s="9" t="n"/>
      <c r="F141" s="9" t="n"/>
      <c r="G141" s="10">
        <f>IF($E141="","空卡",IF($F141="","单卡","正常"))</f>
        <v/>
      </c>
      <c r="H141" s="11">
        <f>IF($G141="正常",ROUND(($F141-$E141)*1440,0),"")</f>
        <v/>
      </c>
      <c r="I141" s="12">
        <f>IF($G141="正常",$H141/60,"")</f>
        <v/>
      </c>
      <c r="J141" s="13">
        <f>IF($G141="正常",ROUND($H141/30,0)/2,"")</f>
        <v/>
      </c>
      <c r="K141" s="13">
        <f>IF($G141="正常",MIN($J141,12),"")</f>
        <v/>
      </c>
      <c r="L141" s="13">
        <f>IF($G141="正常",MAX($J141-12,0),"")</f>
        <v/>
      </c>
    </row>
    <row r="142">
      <c r="A142" s="3" t="inlineStr">
        <is>
          <t>范云</t>
        </is>
      </c>
      <c r="B142" s="3" t="inlineStr">
        <is>
          <t>8/17</t>
        </is>
      </c>
      <c r="C142" s="3" t="inlineStr">
        <is>
          <t>一</t>
        </is>
      </c>
      <c r="D142" s="3" t="inlineStr">
        <is>
          <t>07:50 19:57</t>
        </is>
      </c>
      <c r="E142" s="4" t="n">
        <v>0.3263888888888889</v>
      </c>
      <c r="F142" s="4" t="n">
        <v>0.83125</v>
      </c>
      <c r="G142" s="3">
        <f>IF($E142="","空卡",IF($F142="","单卡","正常"))</f>
        <v/>
      </c>
      <c r="H142" s="5">
        <f>IF($G142="正常",ROUND(($F142-$E142)*1440,0),"")</f>
        <v/>
      </c>
      <c r="I142" s="6">
        <f>IF($G142="正常",$H142/60,"")</f>
        <v/>
      </c>
      <c r="J142" s="7">
        <f>IF($G142="正常",ROUND($H142/30,0)/2,"")</f>
        <v/>
      </c>
      <c r="K142" s="7">
        <f>IF($G142="正常",MIN($J142,12),"")</f>
        <v/>
      </c>
      <c r="L142" s="7">
        <f>IF($G142="正常",MAX($J142-12,0),"")</f>
        <v/>
      </c>
    </row>
    <row r="143">
      <c r="A143" s="3" t="inlineStr">
        <is>
          <t>范云</t>
        </is>
      </c>
      <c r="B143" s="3" t="inlineStr">
        <is>
          <t>8/18</t>
        </is>
      </c>
      <c r="C143" s="3" t="inlineStr">
        <is>
          <t>二</t>
        </is>
      </c>
      <c r="D143" s="3" t="inlineStr">
        <is>
          <t>07:50 18:55</t>
        </is>
      </c>
      <c r="E143" s="4" t="n">
        <v>0.3263888888888889</v>
      </c>
      <c r="F143" s="4" t="n">
        <v>0.7881944444444444</v>
      </c>
      <c r="G143" s="3">
        <f>IF($E143="","空卡",IF($F143="","单卡","正常"))</f>
        <v/>
      </c>
      <c r="H143" s="5">
        <f>IF($G143="正常",ROUND(($F143-$E143)*1440,0),"")</f>
        <v/>
      </c>
      <c r="I143" s="6">
        <f>IF($G143="正常",$H143/60,"")</f>
        <v/>
      </c>
      <c r="J143" s="7">
        <f>IF($G143="正常",ROUND($H143/30,0)/2,"")</f>
        <v/>
      </c>
      <c r="K143" s="7">
        <f>IF($G143="正常",MIN($J143,12),"")</f>
        <v/>
      </c>
      <c r="L143" s="7">
        <f>IF($G143="正常",MAX($J143-12,0),"")</f>
        <v/>
      </c>
    </row>
    <row r="144">
      <c r="A144" s="3" t="inlineStr">
        <is>
          <t>范云</t>
        </is>
      </c>
      <c r="B144" s="3" t="inlineStr">
        <is>
          <t>8/19</t>
        </is>
      </c>
      <c r="C144" s="3" t="inlineStr">
        <is>
          <t>三</t>
        </is>
      </c>
      <c r="D144" s="3" t="inlineStr">
        <is>
          <t>07:19 20:31</t>
        </is>
      </c>
      <c r="E144" s="4" t="n">
        <v>0.3048611111111111</v>
      </c>
      <c r="F144" s="4" t="n">
        <v>0.8548611111111111</v>
      </c>
      <c r="G144" s="3">
        <f>IF($E144="","空卡",IF($F144="","单卡","正常"))</f>
        <v/>
      </c>
      <c r="H144" s="5">
        <f>IF($G144="正常",ROUND(($F144-$E144)*1440,0),"")</f>
        <v/>
      </c>
      <c r="I144" s="6">
        <f>IF($G144="正常",$H144/60,"")</f>
        <v/>
      </c>
      <c r="J144" s="7">
        <f>IF($G144="正常",ROUND($H144/30,0)/2,"")</f>
        <v/>
      </c>
      <c r="K144" s="7">
        <f>IF($G144="正常",MIN($J144,12),"")</f>
        <v/>
      </c>
      <c r="L144" s="7">
        <f>IF($G144="正常",MAX($J144-12,0),"")</f>
        <v/>
      </c>
    </row>
    <row r="145">
      <c r="A145" s="3" t="inlineStr">
        <is>
          <t>范云</t>
        </is>
      </c>
      <c r="B145" s="3" t="inlineStr">
        <is>
          <t>8/20</t>
        </is>
      </c>
      <c r="C145" s="3" t="inlineStr">
        <is>
          <t>四</t>
        </is>
      </c>
      <c r="D145" s="3" t="inlineStr">
        <is>
          <t>10:30 19:56</t>
        </is>
      </c>
      <c r="E145" s="4" t="n">
        <v>0.4375</v>
      </c>
      <c r="F145" s="4" t="n">
        <v>0.8305555555555556</v>
      </c>
      <c r="G145" s="3">
        <f>IF($E145="","空卡",IF($F145="","单卡","正常"))</f>
        <v/>
      </c>
      <c r="H145" s="5">
        <f>IF($G145="正常",ROUND(($F145-$E145)*1440,0),"")</f>
        <v/>
      </c>
      <c r="I145" s="6">
        <f>IF($G145="正常",$H145/60,"")</f>
        <v/>
      </c>
      <c r="J145" s="7">
        <f>IF($G145="正常",ROUND($H145/30,0)/2,"")</f>
        <v/>
      </c>
      <c r="K145" s="7">
        <f>IF($G145="正常",MIN($J145,12),"")</f>
        <v/>
      </c>
      <c r="L145" s="7">
        <f>IF($G145="正常",MAX($J145-12,0),"")</f>
        <v/>
      </c>
    </row>
    <row r="146">
      <c r="A146" s="3" t="inlineStr">
        <is>
          <t>范云</t>
        </is>
      </c>
      <c r="B146" s="3" t="inlineStr">
        <is>
          <t>8/21</t>
        </is>
      </c>
      <c r="C146" s="3" t="inlineStr">
        <is>
          <t>五</t>
        </is>
      </c>
      <c r="D146" s="3" t="inlineStr">
        <is>
          <t>06:48 19:01</t>
        </is>
      </c>
      <c r="E146" s="4" t="n">
        <v>0.2833333333333333</v>
      </c>
      <c r="F146" s="4" t="n">
        <v>0.7923611111111111</v>
      </c>
      <c r="G146" s="3">
        <f>IF($E146="","空卡",IF($F146="","单卡","正常"))</f>
        <v/>
      </c>
      <c r="H146" s="5">
        <f>IF($G146="正常",ROUND(($F146-$E146)*1440,0),"")</f>
        <v/>
      </c>
      <c r="I146" s="6">
        <f>IF($G146="正常",$H146/60,"")</f>
        <v/>
      </c>
      <c r="J146" s="7">
        <f>IF($G146="正常",ROUND($H146/30,0)/2,"")</f>
        <v/>
      </c>
      <c r="K146" s="7">
        <f>IF($G146="正常",MIN($J146,12),"")</f>
        <v/>
      </c>
      <c r="L146" s="7">
        <f>IF($G146="正常",MAX($J146-12,0),"")</f>
        <v/>
      </c>
    </row>
    <row r="147">
      <c r="A147" s="3" t="inlineStr">
        <is>
          <t>范云</t>
        </is>
      </c>
      <c r="B147" s="3" t="inlineStr">
        <is>
          <t>8/22</t>
        </is>
      </c>
      <c r="C147" s="3" t="inlineStr">
        <is>
          <t>六</t>
        </is>
      </c>
      <c r="D147" s="3" t="inlineStr">
        <is>
          <t>06:48 18:30</t>
        </is>
      </c>
      <c r="E147" s="4" t="n">
        <v>0.2833333333333333</v>
      </c>
      <c r="F147" s="4" t="n">
        <v>0.7708333333333334</v>
      </c>
      <c r="G147" s="3">
        <f>IF($E147="","空卡",IF($F147="","单卡","正常"))</f>
        <v/>
      </c>
      <c r="H147" s="5">
        <f>IF($G147="正常",ROUND(($F147-$E147)*1440,0),"")</f>
        <v/>
      </c>
      <c r="I147" s="6">
        <f>IF($G147="正常",$H147/60,"")</f>
        <v/>
      </c>
      <c r="J147" s="7">
        <f>IF($G147="正常",ROUND($H147/30,0)/2,"")</f>
        <v/>
      </c>
      <c r="K147" s="7">
        <f>IF($G147="正常",MIN($J147,12),"")</f>
        <v/>
      </c>
      <c r="L147" s="7">
        <f>IF($G147="正常",MAX($J147-12,0),"")</f>
        <v/>
      </c>
    </row>
    <row r="148">
      <c r="A148" s="3" t="inlineStr">
        <is>
          <t>范云</t>
        </is>
      </c>
      <c r="B148" s="3" t="inlineStr">
        <is>
          <t>8/23</t>
        </is>
      </c>
      <c r="C148" s="3" t="inlineStr">
        <is>
          <t>日</t>
        </is>
      </c>
      <c r="D148" s="3" t="inlineStr">
        <is>
          <t>06:58 18:00</t>
        </is>
      </c>
      <c r="E148" s="4" t="n">
        <v>0.2902777777777778</v>
      </c>
      <c r="F148" s="4" t="n">
        <v>0.75</v>
      </c>
      <c r="G148" s="3">
        <f>IF($E148="","空卡",IF($F148="","单卡","正常"))</f>
        <v/>
      </c>
      <c r="H148" s="5">
        <f>IF($G148="正常",ROUND(($F148-$E148)*1440,0),"")</f>
        <v/>
      </c>
      <c r="I148" s="6">
        <f>IF($G148="正常",$H148/60,"")</f>
        <v/>
      </c>
      <c r="J148" s="7">
        <f>IF($G148="正常",ROUND($H148/30,0)/2,"")</f>
        <v/>
      </c>
      <c r="K148" s="7">
        <f>IF($G148="正常",MIN($J148,12),"")</f>
        <v/>
      </c>
      <c r="L148" s="7">
        <f>IF($G148="正常",MAX($J148-12,0),"")</f>
        <v/>
      </c>
    </row>
    <row r="149">
      <c r="A149" s="3" t="inlineStr">
        <is>
          <t>范云</t>
        </is>
      </c>
      <c r="B149" s="3" t="inlineStr">
        <is>
          <t>8/24</t>
        </is>
      </c>
      <c r="C149" s="3" t="inlineStr">
        <is>
          <t>一</t>
        </is>
      </c>
      <c r="D149" s="3" t="inlineStr">
        <is>
          <t>06:51 16:41</t>
        </is>
      </c>
      <c r="E149" s="4" t="n">
        <v>0.2854166666666667</v>
      </c>
      <c r="F149" s="4" t="n">
        <v>0.6951388888888889</v>
      </c>
      <c r="G149" s="3">
        <f>IF($E149="","空卡",IF($F149="","单卡","正常"))</f>
        <v/>
      </c>
      <c r="H149" s="5">
        <f>IF($G149="正常",ROUND(($F149-$E149)*1440,0),"")</f>
        <v/>
      </c>
      <c r="I149" s="6">
        <f>IF($G149="正常",$H149/60,"")</f>
        <v/>
      </c>
      <c r="J149" s="7">
        <f>IF($G149="正常",ROUND($H149/30,0)/2,"")</f>
        <v/>
      </c>
      <c r="K149" s="7">
        <f>IF($G149="正常",MIN($J149,12),"")</f>
        <v/>
      </c>
      <c r="L149" s="7">
        <f>IF($G149="正常",MAX($J149-12,0),"")</f>
        <v/>
      </c>
    </row>
    <row r="150">
      <c r="A150" s="3" t="inlineStr">
        <is>
          <t>范云</t>
        </is>
      </c>
      <c r="B150" s="3" t="inlineStr">
        <is>
          <t>8/25</t>
        </is>
      </c>
      <c r="C150" s="3" t="inlineStr">
        <is>
          <t>二</t>
        </is>
      </c>
      <c r="D150" s="3" t="inlineStr">
        <is>
          <t>08:08 08:11 18:37</t>
        </is>
      </c>
      <c r="E150" s="4" t="n">
        <v>0.3388888888888889</v>
      </c>
      <c r="F150" s="4" t="n">
        <v>0.7756944444444445</v>
      </c>
      <c r="G150" s="3">
        <f>IF($E150="","空卡",IF($F150="","单卡","正常"))</f>
        <v/>
      </c>
      <c r="H150" s="5">
        <f>IF($G150="正常",ROUND(($F150-$E150)*1440,0),"")</f>
        <v/>
      </c>
      <c r="I150" s="6">
        <f>IF($G150="正常",$H150/60,"")</f>
        <v/>
      </c>
      <c r="J150" s="7">
        <f>IF($G150="正常",ROUND($H150/30,0)/2,"")</f>
        <v/>
      </c>
      <c r="K150" s="7">
        <f>IF($G150="正常",MIN($J150,12),"")</f>
        <v/>
      </c>
      <c r="L150" s="7">
        <f>IF($G150="正常",MAX($J150-12,0),"")</f>
        <v/>
      </c>
    </row>
    <row r="151">
      <c r="A151" s="3" t="inlineStr">
        <is>
          <t>范云</t>
        </is>
      </c>
      <c r="B151" s="3" t="inlineStr">
        <is>
          <t>8/26</t>
        </is>
      </c>
      <c r="C151" s="3" t="inlineStr">
        <is>
          <t>三</t>
        </is>
      </c>
      <c r="D151" s="3" t="inlineStr">
        <is>
          <t>07:48 18:59</t>
        </is>
      </c>
      <c r="E151" s="4" t="n">
        <v>0.325</v>
      </c>
      <c r="F151" s="4" t="n">
        <v>0.7909722222222222</v>
      </c>
      <c r="G151" s="3">
        <f>IF($E151="","空卡",IF($F151="","单卡","正常"))</f>
        <v/>
      </c>
      <c r="H151" s="5">
        <f>IF($G151="正常",ROUND(($F151-$E151)*1440,0),"")</f>
        <v/>
      </c>
      <c r="I151" s="6">
        <f>IF($G151="正常",$H151/60,"")</f>
        <v/>
      </c>
      <c r="J151" s="7">
        <f>IF($G151="正常",ROUND($H151/30,0)/2,"")</f>
        <v/>
      </c>
      <c r="K151" s="7">
        <f>IF($G151="正常",MIN($J151,12),"")</f>
        <v/>
      </c>
      <c r="L151" s="7">
        <f>IF($G151="正常",MAX($J151-12,0),"")</f>
        <v/>
      </c>
    </row>
    <row r="152">
      <c r="A152" s="3" t="inlineStr">
        <is>
          <t>范云</t>
        </is>
      </c>
      <c r="B152" s="3" t="inlineStr">
        <is>
          <t>8/27</t>
        </is>
      </c>
      <c r="C152" s="3" t="inlineStr">
        <is>
          <t>四</t>
        </is>
      </c>
      <c r="D152" s="3" t="inlineStr">
        <is>
          <t>07:51 19:04</t>
        </is>
      </c>
      <c r="E152" s="4" t="n">
        <v>0.3270833333333333</v>
      </c>
      <c r="F152" s="4" t="n">
        <v>0.7944444444444444</v>
      </c>
      <c r="G152" s="3">
        <f>IF($E152="","空卡",IF($F152="","单卡","正常"))</f>
        <v/>
      </c>
      <c r="H152" s="5">
        <f>IF($G152="正常",ROUND(($F152-$E152)*1440,0),"")</f>
        <v/>
      </c>
      <c r="I152" s="6">
        <f>IF($G152="正常",$H152/60,"")</f>
        <v/>
      </c>
      <c r="J152" s="7">
        <f>IF($G152="正常",ROUND($H152/30,0)/2,"")</f>
        <v/>
      </c>
      <c r="K152" s="7">
        <f>IF($G152="正常",MIN($J152,12),"")</f>
        <v/>
      </c>
      <c r="L152" s="7">
        <f>IF($G152="正常",MAX($J152-12,0),"")</f>
        <v/>
      </c>
    </row>
    <row r="153">
      <c r="A153" s="3" t="inlineStr">
        <is>
          <t>范云</t>
        </is>
      </c>
      <c r="B153" s="3" t="inlineStr">
        <is>
          <t>8/28</t>
        </is>
      </c>
      <c r="C153" s="3" t="inlineStr">
        <is>
          <t>五</t>
        </is>
      </c>
      <c r="D153" s="3" t="inlineStr">
        <is>
          <t>07:50 16:33</t>
        </is>
      </c>
      <c r="E153" s="4" t="n">
        <v>0.3263888888888889</v>
      </c>
      <c r="F153" s="4" t="n">
        <v>0.6895833333333333</v>
      </c>
      <c r="G153" s="3">
        <f>IF($E153="","空卡",IF($F153="","单卡","正常"))</f>
        <v/>
      </c>
      <c r="H153" s="5">
        <f>IF($G153="正常",ROUND(($F153-$E153)*1440,0),"")</f>
        <v/>
      </c>
      <c r="I153" s="6">
        <f>IF($G153="正常",$H153/60,"")</f>
        <v/>
      </c>
      <c r="J153" s="7">
        <f>IF($G153="正常",ROUND($H153/30,0)/2,"")</f>
        <v/>
      </c>
      <c r="K153" s="7">
        <f>IF($G153="正常",MIN($J153,12),"")</f>
        <v/>
      </c>
      <c r="L153" s="7">
        <f>IF($G153="正常",MAX($J153-12,0),"")</f>
        <v/>
      </c>
    </row>
    <row r="154">
      <c r="A154" s="3" t="inlineStr">
        <is>
          <t>范云</t>
        </is>
      </c>
      <c r="B154" s="3" t="inlineStr">
        <is>
          <t>8/29</t>
        </is>
      </c>
      <c r="C154" s="3" t="inlineStr">
        <is>
          <t>六</t>
        </is>
      </c>
      <c r="D154" s="3" t="inlineStr">
        <is>
          <t>07:46 21:58</t>
        </is>
      </c>
      <c r="E154" s="4" t="n">
        <v>0.3236111111111111</v>
      </c>
      <c r="F154" s="4" t="n">
        <v>0.9152777777777777</v>
      </c>
      <c r="G154" s="3">
        <f>IF($E154="","空卡",IF($F154="","单卡","正常"))</f>
        <v/>
      </c>
      <c r="H154" s="5">
        <f>IF($G154="正常",ROUND(($F154-$E154)*1440,0),"")</f>
        <v/>
      </c>
      <c r="I154" s="6">
        <f>IF($G154="正常",$H154/60,"")</f>
        <v/>
      </c>
      <c r="J154" s="7">
        <f>IF($G154="正常",ROUND($H154/30,0)/2,"")</f>
        <v/>
      </c>
      <c r="K154" s="7">
        <f>IF($G154="正常",MIN($J154,12),"")</f>
        <v/>
      </c>
      <c r="L154" s="7">
        <f>IF($G154="正常",MAX($J154-12,0),"")</f>
        <v/>
      </c>
    </row>
    <row r="155">
      <c r="A155" s="3" t="inlineStr">
        <is>
          <t>范云</t>
        </is>
      </c>
      <c r="B155" s="3" t="inlineStr">
        <is>
          <t>8/30</t>
        </is>
      </c>
      <c r="C155" s="3" t="inlineStr">
        <is>
          <t>日</t>
        </is>
      </c>
      <c r="D155" s="3" t="inlineStr">
        <is>
          <t>07:56 18:41</t>
        </is>
      </c>
      <c r="E155" s="4" t="n">
        <v>0.3305555555555555</v>
      </c>
      <c r="F155" s="4" t="n">
        <v>0.7784722222222222</v>
      </c>
      <c r="G155" s="3">
        <f>IF($E155="","空卡",IF($F155="","单卡","正常"))</f>
        <v/>
      </c>
      <c r="H155" s="5">
        <f>IF($G155="正常",ROUND(($F155-$E155)*1440,0),"")</f>
        <v/>
      </c>
      <c r="I155" s="6">
        <f>IF($G155="正常",$H155/60,"")</f>
        <v/>
      </c>
      <c r="J155" s="7">
        <f>IF($G155="正常",ROUND($H155/30,0)/2,"")</f>
        <v/>
      </c>
      <c r="K155" s="7">
        <f>IF($G155="正常",MIN($J155,12),"")</f>
        <v/>
      </c>
      <c r="L155" s="7">
        <f>IF($G155="正常",MAX($J155-12,0),"")</f>
        <v/>
      </c>
    </row>
    <row r="156">
      <c r="A156" s="8" t="inlineStr">
        <is>
          <t>范云</t>
        </is>
      </c>
      <c r="B156" s="8" t="inlineStr">
        <is>
          <t>8/31</t>
        </is>
      </c>
      <c r="C156" s="8" t="inlineStr">
        <is>
          <t>一</t>
        </is>
      </c>
      <c r="D156" s="8" t="inlineStr"/>
      <c r="E156" s="9" t="n"/>
      <c r="F156" s="9" t="n"/>
      <c r="G156" s="10">
        <f>IF($E156="","空卡",IF($F156="","单卡","正常"))</f>
        <v/>
      </c>
      <c r="H156" s="11">
        <f>IF($G156="正常",ROUND(($F156-$E156)*1440,0),"")</f>
        <v/>
      </c>
      <c r="I156" s="12">
        <f>IF($G156="正常",$H156/60,"")</f>
        <v/>
      </c>
      <c r="J156" s="13">
        <f>IF($G156="正常",ROUND($H156/30,0)/2,"")</f>
        <v/>
      </c>
      <c r="K156" s="13">
        <f>IF($G156="正常",MIN($J156,12),"")</f>
        <v/>
      </c>
      <c r="L156" s="13">
        <f>IF($G156="正常",MAX($J156-12,0),"")</f>
        <v/>
      </c>
    </row>
    <row r="157">
      <c r="A157" s="3" t="inlineStr">
        <is>
          <t>沈学富</t>
        </is>
      </c>
      <c r="B157" s="3" t="inlineStr">
        <is>
          <t>8/1</t>
        </is>
      </c>
      <c r="C157" s="3" t="inlineStr">
        <is>
          <t>六</t>
        </is>
      </c>
      <c r="D157" s="3" t="inlineStr">
        <is>
          <t>07:53 17:02</t>
        </is>
      </c>
      <c r="E157" s="4" t="n">
        <v>0.3284722222222222</v>
      </c>
      <c r="F157" s="4" t="n">
        <v>0.7097222222222223</v>
      </c>
      <c r="G157" s="3">
        <f>IF($E157="","空卡",IF($F157="","单卡","正常"))</f>
        <v/>
      </c>
      <c r="H157" s="5">
        <f>IF($G157="正常",ROUND(($F157-$E157)*1440,0),"")</f>
        <v/>
      </c>
      <c r="I157" s="6">
        <f>IF($G157="正常",$H157/60,"")</f>
        <v/>
      </c>
      <c r="J157" s="7">
        <f>IF($G157="正常",ROUND($H157/30,0)/2,"")</f>
        <v/>
      </c>
      <c r="K157" s="7">
        <f>IF($G157="正常",MIN($J157,12),"")</f>
        <v/>
      </c>
      <c r="L157" s="7">
        <f>IF($G157="正常",MAX($J157-12,0),"")</f>
        <v/>
      </c>
    </row>
    <row r="158">
      <c r="A158" s="3" t="inlineStr">
        <is>
          <t>沈学富</t>
        </is>
      </c>
      <c r="B158" s="3" t="inlineStr">
        <is>
          <t>8/2</t>
        </is>
      </c>
      <c r="C158" s="3" t="inlineStr">
        <is>
          <t>日</t>
        </is>
      </c>
      <c r="D158" s="3" t="inlineStr">
        <is>
          <t>07:55 14:57</t>
        </is>
      </c>
      <c r="E158" s="4" t="n">
        <v>0.3298611111111111</v>
      </c>
      <c r="F158" s="4" t="n">
        <v>0.6229166666666667</v>
      </c>
      <c r="G158" s="3">
        <f>IF($E158="","空卡",IF($F158="","单卡","正常"))</f>
        <v/>
      </c>
      <c r="H158" s="5">
        <f>IF($G158="正常",ROUND(($F158-$E158)*1440,0),"")</f>
        <v/>
      </c>
      <c r="I158" s="6">
        <f>IF($G158="正常",$H158/60,"")</f>
        <v/>
      </c>
      <c r="J158" s="7">
        <f>IF($G158="正常",ROUND($H158/30,0)/2,"")</f>
        <v/>
      </c>
      <c r="K158" s="7">
        <f>IF($G158="正常",MIN($J158,12),"")</f>
        <v/>
      </c>
      <c r="L158" s="7">
        <f>IF($G158="正常",MAX($J158-12,0),"")</f>
        <v/>
      </c>
    </row>
    <row r="159">
      <c r="A159" s="3" t="inlineStr">
        <is>
          <t>沈学富</t>
        </is>
      </c>
      <c r="B159" s="3" t="inlineStr">
        <is>
          <t>8/3</t>
        </is>
      </c>
      <c r="C159" s="3" t="inlineStr">
        <is>
          <t>一</t>
        </is>
      </c>
      <c r="D159" s="3" t="inlineStr">
        <is>
          <t>08:19 15:35</t>
        </is>
      </c>
      <c r="E159" s="4" t="n">
        <v>0.3465277777777778</v>
      </c>
      <c r="F159" s="4" t="n">
        <v>0.6493055555555556</v>
      </c>
      <c r="G159" s="3">
        <f>IF($E159="","空卡",IF($F159="","单卡","正常"))</f>
        <v/>
      </c>
      <c r="H159" s="5">
        <f>IF($G159="正常",ROUND(($F159-$E159)*1440,0),"")</f>
        <v/>
      </c>
      <c r="I159" s="6">
        <f>IF($G159="正常",$H159/60,"")</f>
        <v/>
      </c>
      <c r="J159" s="7">
        <f>IF($G159="正常",ROUND($H159/30,0)/2,"")</f>
        <v/>
      </c>
      <c r="K159" s="7">
        <f>IF($G159="正常",MIN($J159,12),"")</f>
        <v/>
      </c>
      <c r="L159" s="7">
        <f>IF($G159="正常",MAX($J159-12,0),"")</f>
        <v/>
      </c>
    </row>
    <row r="160">
      <c r="A160" s="3" t="inlineStr">
        <is>
          <t>沈学富</t>
        </is>
      </c>
      <c r="B160" s="3" t="inlineStr">
        <is>
          <t>8/4</t>
        </is>
      </c>
      <c r="C160" s="3" t="inlineStr">
        <is>
          <t>二</t>
        </is>
      </c>
      <c r="D160" s="3" t="inlineStr">
        <is>
          <t>07:51 20:35</t>
        </is>
      </c>
      <c r="E160" s="4" t="n">
        <v>0.3270833333333333</v>
      </c>
      <c r="F160" s="4" t="n">
        <v>0.8576388888888888</v>
      </c>
      <c r="G160" s="3">
        <f>IF($E160="","空卡",IF($F160="","单卡","正常"))</f>
        <v/>
      </c>
      <c r="H160" s="5">
        <f>IF($G160="正常",ROUND(($F160-$E160)*1440,0),"")</f>
        <v/>
      </c>
      <c r="I160" s="6">
        <f>IF($G160="正常",$H160/60,"")</f>
        <v/>
      </c>
      <c r="J160" s="7">
        <f>IF($G160="正常",ROUND($H160/30,0)/2,"")</f>
        <v/>
      </c>
      <c r="K160" s="7">
        <f>IF($G160="正常",MIN($J160,12),"")</f>
        <v/>
      </c>
      <c r="L160" s="7">
        <f>IF($G160="正常",MAX($J160-12,0),"")</f>
        <v/>
      </c>
    </row>
    <row r="161">
      <c r="A161" s="3" t="inlineStr">
        <is>
          <t>沈学富</t>
        </is>
      </c>
      <c r="B161" s="3" t="inlineStr">
        <is>
          <t>8/5</t>
        </is>
      </c>
      <c r="C161" s="3" t="inlineStr">
        <is>
          <t>三</t>
        </is>
      </c>
      <c r="D161" s="3" t="inlineStr">
        <is>
          <t>09:30 19:36</t>
        </is>
      </c>
      <c r="E161" s="4" t="n">
        <v>0.3958333333333333</v>
      </c>
      <c r="F161" s="4" t="n">
        <v>0.8166666666666667</v>
      </c>
      <c r="G161" s="3">
        <f>IF($E161="","空卡",IF($F161="","单卡","正常"))</f>
        <v/>
      </c>
      <c r="H161" s="5">
        <f>IF($G161="正常",ROUND(($F161-$E161)*1440,0),"")</f>
        <v/>
      </c>
      <c r="I161" s="6">
        <f>IF($G161="正常",$H161/60,"")</f>
        <v/>
      </c>
      <c r="J161" s="7">
        <f>IF($G161="正常",ROUND($H161/30,0)/2,"")</f>
        <v/>
      </c>
      <c r="K161" s="7">
        <f>IF($G161="正常",MIN($J161,12),"")</f>
        <v/>
      </c>
      <c r="L161" s="7">
        <f>IF($G161="正常",MAX($J161-12,0),"")</f>
        <v/>
      </c>
    </row>
    <row r="162">
      <c r="A162" s="3" t="inlineStr">
        <is>
          <t>沈学富</t>
        </is>
      </c>
      <c r="B162" s="3" t="inlineStr">
        <is>
          <t>8/6</t>
        </is>
      </c>
      <c r="C162" s="3" t="inlineStr">
        <is>
          <t>四</t>
        </is>
      </c>
      <c r="D162" s="3" t="inlineStr">
        <is>
          <t>08:49 19:00</t>
        </is>
      </c>
      <c r="E162" s="4" t="n">
        <v>0.3673611111111111</v>
      </c>
      <c r="F162" s="4" t="n">
        <v>0.7916666666666666</v>
      </c>
      <c r="G162" s="3">
        <f>IF($E162="","空卡",IF($F162="","单卡","正常"))</f>
        <v/>
      </c>
      <c r="H162" s="5">
        <f>IF($G162="正常",ROUND(($F162-$E162)*1440,0),"")</f>
        <v/>
      </c>
      <c r="I162" s="6">
        <f>IF($G162="正常",$H162/60,"")</f>
        <v/>
      </c>
      <c r="J162" s="7">
        <f>IF($G162="正常",ROUND($H162/30,0)/2,"")</f>
        <v/>
      </c>
      <c r="K162" s="7">
        <f>IF($G162="正常",MIN($J162,12),"")</f>
        <v/>
      </c>
      <c r="L162" s="7">
        <f>IF($G162="正常",MAX($J162-12,0),"")</f>
        <v/>
      </c>
    </row>
    <row r="163">
      <c r="A163" s="3" t="inlineStr">
        <is>
          <t>沈学富</t>
        </is>
      </c>
      <c r="B163" s="3" t="inlineStr">
        <is>
          <t>8/7</t>
        </is>
      </c>
      <c r="C163" s="3" t="inlineStr">
        <is>
          <t>五</t>
        </is>
      </c>
      <c r="D163" s="3" t="inlineStr">
        <is>
          <t>07:53 19:31</t>
        </is>
      </c>
      <c r="E163" s="4" t="n">
        <v>0.3284722222222222</v>
      </c>
      <c r="F163" s="4" t="n">
        <v>0.8131944444444444</v>
      </c>
      <c r="G163" s="3">
        <f>IF($E163="","空卡",IF($F163="","单卡","正常"))</f>
        <v/>
      </c>
      <c r="H163" s="5">
        <f>IF($G163="正常",ROUND(($F163-$E163)*1440,0),"")</f>
        <v/>
      </c>
      <c r="I163" s="6">
        <f>IF($G163="正常",$H163/60,"")</f>
        <v/>
      </c>
      <c r="J163" s="7">
        <f>IF($G163="正常",ROUND($H163/30,0)/2,"")</f>
        <v/>
      </c>
      <c r="K163" s="7">
        <f>IF($G163="正常",MIN($J163,12),"")</f>
        <v/>
      </c>
      <c r="L163" s="7">
        <f>IF($G163="正常",MAX($J163-12,0),"")</f>
        <v/>
      </c>
    </row>
    <row r="164">
      <c r="A164" s="3" t="inlineStr">
        <is>
          <t>沈学富</t>
        </is>
      </c>
      <c r="B164" s="3" t="inlineStr">
        <is>
          <t>8/8</t>
        </is>
      </c>
      <c r="C164" s="3" t="inlineStr">
        <is>
          <t>六</t>
        </is>
      </c>
      <c r="D164" s="3" t="inlineStr">
        <is>
          <t>08:15 19:37</t>
        </is>
      </c>
      <c r="E164" s="4" t="n">
        <v>0.34375</v>
      </c>
      <c r="F164" s="4" t="n">
        <v>0.8173611111111111</v>
      </c>
      <c r="G164" s="3">
        <f>IF($E164="","空卡",IF($F164="","单卡","正常"))</f>
        <v/>
      </c>
      <c r="H164" s="5">
        <f>IF($G164="正常",ROUND(($F164-$E164)*1440,0),"")</f>
        <v/>
      </c>
      <c r="I164" s="6">
        <f>IF($G164="正常",$H164/60,"")</f>
        <v/>
      </c>
      <c r="J164" s="7">
        <f>IF($G164="正常",ROUND($H164/30,0)/2,"")</f>
        <v/>
      </c>
      <c r="K164" s="7">
        <f>IF($G164="正常",MIN($J164,12),"")</f>
        <v/>
      </c>
      <c r="L164" s="7">
        <f>IF($G164="正常",MAX($J164-12,0),"")</f>
        <v/>
      </c>
    </row>
    <row r="165">
      <c r="A165" s="3" t="inlineStr">
        <is>
          <t>沈学富</t>
        </is>
      </c>
      <c r="B165" s="3" t="inlineStr">
        <is>
          <t>8/9</t>
        </is>
      </c>
      <c r="C165" s="3" t="inlineStr">
        <is>
          <t>日</t>
        </is>
      </c>
      <c r="D165" s="3" t="inlineStr">
        <is>
          <t>07:30 19:31</t>
        </is>
      </c>
      <c r="E165" s="4" t="n">
        <v>0.3125</v>
      </c>
      <c r="F165" s="4" t="n">
        <v>0.8131944444444444</v>
      </c>
      <c r="G165" s="3">
        <f>IF($E165="","空卡",IF($F165="","单卡","正常"))</f>
        <v/>
      </c>
      <c r="H165" s="5">
        <f>IF($G165="正常",ROUND(($F165-$E165)*1440,0),"")</f>
        <v/>
      </c>
      <c r="I165" s="6">
        <f>IF($G165="正常",$H165/60,"")</f>
        <v/>
      </c>
      <c r="J165" s="7">
        <f>IF($G165="正常",ROUND($H165/30,0)/2,"")</f>
        <v/>
      </c>
      <c r="K165" s="7">
        <f>IF($G165="正常",MIN($J165,12),"")</f>
        <v/>
      </c>
      <c r="L165" s="7">
        <f>IF($G165="正常",MAX($J165-12,0),"")</f>
        <v/>
      </c>
    </row>
    <row r="166">
      <c r="A166" s="3" t="inlineStr">
        <is>
          <t>沈学富</t>
        </is>
      </c>
      <c r="B166" s="3" t="inlineStr">
        <is>
          <t>8/10</t>
        </is>
      </c>
      <c r="C166" s="3" t="inlineStr">
        <is>
          <t>一</t>
        </is>
      </c>
      <c r="D166" s="3" t="inlineStr">
        <is>
          <t>08:23 19:58</t>
        </is>
      </c>
      <c r="E166" s="4" t="n">
        <v>0.3493055555555555</v>
      </c>
      <c r="F166" s="4" t="n">
        <v>0.8319444444444445</v>
      </c>
      <c r="G166" s="3">
        <f>IF($E166="","空卡",IF($F166="","单卡","正常"))</f>
        <v/>
      </c>
      <c r="H166" s="5">
        <f>IF($G166="正常",ROUND(($F166-$E166)*1440,0),"")</f>
        <v/>
      </c>
      <c r="I166" s="6">
        <f>IF($G166="正常",$H166/60,"")</f>
        <v/>
      </c>
      <c r="J166" s="7">
        <f>IF($G166="正常",ROUND($H166/30,0)/2,"")</f>
        <v/>
      </c>
      <c r="K166" s="7">
        <f>IF($G166="正常",MIN($J166,12),"")</f>
        <v/>
      </c>
      <c r="L166" s="7">
        <f>IF($G166="正常",MAX($J166-12,0),"")</f>
        <v/>
      </c>
    </row>
    <row r="167">
      <c r="A167" s="3" t="inlineStr">
        <is>
          <t>沈学富</t>
        </is>
      </c>
      <c r="B167" s="3" t="inlineStr">
        <is>
          <t>8/11</t>
        </is>
      </c>
      <c r="C167" s="3" t="inlineStr">
        <is>
          <t>二</t>
        </is>
      </c>
      <c r="D167" s="3" t="inlineStr">
        <is>
          <t>08:28 18:06</t>
        </is>
      </c>
      <c r="E167" s="4" t="n">
        <v>0.3527777777777778</v>
      </c>
      <c r="F167" s="4" t="n">
        <v>0.7541666666666667</v>
      </c>
      <c r="G167" s="3">
        <f>IF($E167="","空卡",IF($F167="","单卡","正常"))</f>
        <v/>
      </c>
      <c r="H167" s="5">
        <f>IF($G167="正常",ROUND(($F167-$E167)*1440,0),"")</f>
        <v/>
      </c>
      <c r="I167" s="6">
        <f>IF($G167="正常",$H167/60,"")</f>
        <v/>
      </c>
      <c r="J167" s="7">
        <f>IF($G167="正常",ROUND($H167/30,0)/2,"")</f>
        <v/>
      </c>
      <c r="K167" s="7">
        <f>IF($G167="正常",MIN($J167,12),"")</f>
        <v/>
      </c>
      <c r="L167" s="7">
        <f>IF($G167="正常",MAX($J167-12,0),"")</f>
        <v/>
      </c>
    </row>
    <row r="168">
      <c r="A168" s="3" t="inlineStr">
        <is>
          <t>沈学富</t>
        </is>
      </c>
      <c r="B168" s="3" t="inlineStr">
        <is>
          <t>8/12</t>
        </is>
      </c>
      <c r="C168" s="3" t="inlineStr">
        <is>
          <t>三</t>
        </is>
      </c>
      <c r="D168" s="3" t="inlineStr">
        <is>
          <t>08:21 18:34</t>
        </is>
      </c>
      <c r="E168" s="4" t="n">
        <v>0.3479166666666667</v>
      </c>
      <c r="F168" s="4" t="n">
        <v>0.7736111111111111</v>
      </c>
      <c r="G168" s="3">
        <f>IF($E168="","空卡",IF($F168="","单卡","正常"))</f>
        <v/>
      </c>
      <c r="H168" s="5">
        <f>IF($G168="正常",ROUND(($F168-$E168)*1440,0),"")</f>
        <v/>
      </c>
      <c r="I168" s="6">
        <f>IF($G168="正常",$H168/60,"")</f>
        <v/>
      </c>
      <c r="J168" s="7">
        <f>IF($G168="正常",ROUND($H168/30,0)/2,"")</f>
        <v/>
      </c>
      <c r="K168" s="7">
        <f>IF($G168="正常",MIN($J168,12),"")</f>
        <v/>
      </c>
      <c r="L168" s="7">
        <f>IF($G168="正常",MAX($J168-12,0),"")</f>
        <v/>
      </c>
    </row>
    <row r="169">
      <c r="A169" s="3" t="inlineStr">
        <is>
          <t>沈学富</t>
        </is>
      </c>
      <c r="B169" s="3" t="inlineStr">
        <is>
          <t>8/13</t>
        </is>
      </c>
      <c r="C169" s="3" t="inlineStr">
        <is>
          <t>四</t>
        </is>
      </c>
      <c r="D169" s="3" t="inlineStr">
        <is>
          <t>09:53 19:29</t>
        </is>
      </c>
      <c r="E169" s="4" t="n">
        <v>0.4118055555555555</v>
      </c>
      <c r="F169" s="4" t="n">
        <v>0.8118055555555556</v>
      </c>
      <c r="G169" s="3">
        <f>IF($E169="","空卡",IF($F169="","单卡","正常"))</f>
        <v/>
      </c>
      <c r="H169" s="5">
        <f>IF($G169="正常",ROUND(($F169-$E169)*1440,0),"")</f>
        <v/>
      </c>
      <c r="I169" s="6">
        <f>IF($G169="正常",$H169/60,"")</f>
        <v/>
      </c>
      <c r="J169" s="7">
        <f>IF($G169="正常",ROUND($H169/30,0)/2,"")</f>
        <v/>
      </c>
      <c r="K169" s="7">
        <f>IF($G169="正常",MIN($J169,12),"")</f>
        <v/>
      </c>
      <c r="L169" s="7">
        <f>IF($G169="正常",MAX($J169-12,0),"")</f>
        <v/>
      </c>
    </row>
    <row r="170">
      <c r="A170" s="3" t="inlineStr">
        <is>
          <t>沈学富</t>
        </is>
      </c>
      <c r="B170" s="3" t="inlineStr">
        <is>
          <t>8/14</t>
        </is>
      </c>
      <c r="C170" s="3" t="inlineStr">
        <is>
          <t>五</t>
        </is>
      </c>
      <c r="D170" s="3" t="inlineStr">
        <is>
          <t>07:00 20:57</t>
        </is>
      </c>
      <c r="E170" s="4" t="n">
        <v>0.2916666666666667</v>
      </c>
      <c r="F170" s="4" t="n">
        <v>0.8729166666666667</v>
      </c>
      <c r="G170" s="3">
        <f>IF($E170="","空卡",IF($F170="","单卡","正常"))</f>
        <v/>
      </c>
      <c r="H170" s="5">
        <f>IF($G170="正常",ROUND(($F170-$E170)*1440,0),"")</f>
        <v/>
      </c>
      <c r="I170" s="6">
        <f>IF($G170="正常",$H170/60,"")</f>
        <v/>
      </c>
      <c r="J170" s="7">
        <f>IF($G170="正常",ROUND($H170/30,0)/2,"")</f>
        <v/>
      </c>
      <c r="K170" s="7">
        <f>IF($G170="正常",MIN($J170,12),"")</f>
        <v/>
      </c>
      <c r="L170" s="7">
        <f>IF($G170="正常",MAX($J170-12,0),"")</f>
        <v/>
      </c>
    </row>
    <row r="171">
      <c r="A171" s="3" t="inlineStr">
        <is>
          <t>沈学富</t>
        </is>
      </c>
      <c r="B171" s="3" t="inlineStr">
        <is>
          <t>8/15</t>
        </is>
      </c>
      <c r="C171" s="3" t="inlineStr">
        <is>
          <t>六</t>
        </is>
      </c>
      <c r="D171" s="3" t="inlineStr">
        <is>
          <t>06:59 19:12</t>
        </is>
      </c>
      <c r="E171" s="4" t="n">
        <v>0.2909722222222222</v>
      </c>
      <c r="F171" s="4" t="n">
        <v>0.8</v>
      </c>
      <c r="G171" s="3">
        <f>IF($E171="","空卡",IF($F171="","单卡","正常"))</f>
        <v/>
      </c>
      <c r="H171" s="5">
        <f>IF($G171="正常",ROUND(($F171-$E171)*1440,0),"")</f>
        <v/>
      </c>
      <c r="I171" s="6">
        <f>IF($G171="正常",$H171/60,"")</f>
        <v/>
      </c>
      <c r="J171" s="7">
        <f>IF($G171="正常",ROUND($H171/30,0)/2,"")</f>
        <v/>
      </c>
      <c r="K171" s="7">
        <f>IF($G171="正常",MIN($J171,12),"")</f>
        <v/>
      </c>
      <c r="L171" s="7">
        <f>IF($G171="正常",MAX($J171-12,0),"")</f>
        <v/>
      </c>
    </row>
    <row r="172">
      <c r="A172" s="3" t="inlineStr">
        <is>
          <t>沈学富</t>
        </is>
      </c>
      <c r="B172" s="3" t="inlineStr">
        <is>
          <t>8/16</t>
        </is>
      </c>
      <c r="C172" s="3" t="inlineStr">
        <is>
          <t>日</t>
        </is>
      </c>
      <c r="D172" s="3" t="inlineStr">
        <is>
          <t>07:59 18:19</t>
        </is>
      </c>
      <c r="E172" s="4" t="n">
        <v>0.3326388888888889</v>
      </c>
      <c r="F172" s="4" t="n">
        <v>0.7631944444444444</v>
      </c>
      <c r="G172" s="3">
        <f>IF($E172="","空卡",IF($F172="","单卡","正常"))</f>
        <v/>
      </c>
      <c r="H172" s="5">
        <f>IF($G172="正常",ROUND(($F172-$E172)*1440,0),"")</f>
        <v/>
      </c>
      <c r="I172" s="6">
        <f>IF($G172="正常",$H172/60,"")</f>
        <v/>
      </c>
      <c r="J172" s="7">
        <f>IF($G172="正常",ROUND($H172/30,0)/2,"")</f>
        <v/>
      </c>
      <c r="K172" s="7">
        <f>IF($G172="正常",MIN($J172,12),"")</f>
        <v/>
      </c>
      <c r="L172" s="7">
        <f>IF($G172="正常",MAX($J172-12,0),"")</f>
        <v/>
      </c>
    </row>
    <row r="173">
      <c r="A173" s="3" t="inlineStr">
        <is>
          <t>沈学富</t>
        </is>
      </c>
      <c r="B173" s="3" t="inlineStr">
        <is>
          <t>8/17</t>
        </is>
      </c>
      <c r="C173" s="3" t="inlineStr">
        <is>
          <t>一</t>
        </is>
      </c>
      <c r="D173" s="3" t="inlineStr">
        <is>
          <t>07:54 19:59</t>
        </is>
      </c>
      <c r="E173" s="4" t="n">
        <v>0.3291666666666667</v>
      </c>
      <c r="F173" s="4" t="n">
        <v>0.8326388888888889</v>
      </c>
      <c r="G173" s="3">
        <f>IF($E173="","空卡",IF($F173="","单卡","正常"))</f>
        <v/>
      </c>
      <c r="H173" s="5">
        <f>IF($G173="正常",ROUND(($F173-$E173)*1440,0),"")</f>
        <v/>
      </c>
      <c r="I173" s="6">
        <f>IF($G173="正常",$H173/60,"")</f>
        <v/>
      </c>
      <c r="J173" s="7">
        <f>IF($G173="正常",ROUND($H173/30,0)/2,"")</f>
        <v/>
      </c>
      <c r="K173" s="7">
        <f>IF($G173="正常",MIN($J173,12),"")</f>
        <v/>
      </c>
      <c r="L173" s="7">
        <f>IF($G173="正常",MAX($J173-12,0),"")</f>
        <v/>
      </c>
    </row>
    <row r="174">
      <c r="A174" s="3" t="inlineStr">
        <is>
          <t>沈学富</t>
        </is>
      </c>
      <c r="B174" s="3" t="inlineStr">
        <is>
          <t>8/18</t>
        </is>
      </c>
      <c r="C174" s="3" t="inlineStr">
        <is>
          <t>二</t>
        </is>
      </c>
      <c r="D174" s="3" t="inlineStr">
        <is>
          <t>07:50 18:57</t>
        </is>
      </c>
      <c r="E174" s="4" t="n">
        <v>0.3263888888888889</v>
      </c>
      <c r="F174" s="4" t="n">
        <v>0.7895833333333333</v>
      </c>
      <c r="G174" s="3">
        <f>IF($E174="","空卡",IF($F174="","单卡","正常"))</f>
        <v/>
      </c>
      <c r="H174" s="5">
        <f>IF($G174="正常",ROUND(($F174-$E174)*1440,0),"")</f>
        <v/>
      </c>
      <c r="I174" s="6">
        <f>IF($G174="正常",$H174/60,"")</f>
        <v/>
      </c>
      <c r="J174" s="7">
        <f>IF($G174="正常",ROUND($H174/30,0)/2,"")</f>
        <v/>
      </c>
      <c r="K174" s="7">
        <f>IF($G174="正常",MIN($J174,12),"")</f>
        <v/>
      </c>
      <c r="L174" s="7">
        <f>IF($G174="正常",MAX($J174-12,0),"")</f>
        <v/>
      </c>
    </row>
    <row r="175">
      <c r="A175" s="3" t="inlineStr">
        <is>
          <t>沈学富</t>
        </is>
      </c>
      <c r="B175" s="3" t="inlineStr">
        <is>
          <t>8/19</t>
        </is>
      </c>
      <c r="C175" s="3" t="inlineStr">
        <is>
          <t>三</t>
        </is>
      </c>
      <c r="D175" s="3" t="inlineStr">
        <is>
          <t>08:59 20:28</t>
        </is>
      </c>
      <c r="E175" s="4" t="n">
        <v>0.3743055555555556</v>
      </c>
      <c r="F175" s="4" t="n">
        <v>0.8527777777777777</v>
      </c>
      <c r="G175" s="3">
        <f>IF($E175="","空卡",IF($F175="","单卡","正常"))</f>
        <v/>
      </c>
      <c r="H175" s="5">
        <f>IF($G175="正常",ROUND(($F175-$E175)*1440,0),"")</f>
        <v/>
      </c>
      <c r="I175" s="6">
        <f>IF($G175="正常",$H175/60,"")</f>
        <v/>
      </c>
      <c r="J175" s="7">
        <f>IF($G175="正常",ROUND($H175/30,0)/2,"")</f>
        <v/>
      </c>
      <c r="K175" s="7">
        <f>IF($G175="正常",MIN($J175,12),"")</f>
        <v/>
      </c>
      <c r="L175" s="7">
        <f>IF($G175="正常",MAX($J175-12,0),"")</f>
        <v/>
      </c>
    </row>
    <row r="176">
      <c r="A176" s="3" t="inlineStr">
        <is>
          <t>沈学富</t>
        </is>
      </c>
      <c r="B176" s="3" t="inlineStr">
        <is>
          <t>8/20</t>
        </is>
      </c>
      <c r="C176" s="3" t="inlineStr">
        <is>
          <t>四</t>
        </is>
      </c>
      <c r="D176" s="3" t="inlineStr">
        <is>
          <t>08:29 19:57</t>
        </is>
      </c>
      <c r="E176" s="4" t="n">
        <v>0.3534722222222222</v>
      </c>
      <c r="F176" s="4" t="n">
        <v>0.83125</v>
      </c>
      <c r="G176" s="3">
        <f>IF($E176="","空卡",IF($F176="","单卡","正常"))</f>
        <v/>
      </c>
      <c r="H176" s="5">
        <f>IF($G176="正常",ROUND(($F176-$E176)*1440,0),"")</f>
        <v/>
      </c>
      <c r="I176" s="6">
        <f>IF($G176="正常",$H176/60,"")</f>
        <v/>
      </c>
      <c r="J176" s="7">
        <f>IF($G176="正常",ROUND($H176/30,0)/2,"")</f>
        <v/>
      </c>
      <c r="K176" s="7">
        <f>IF($G176="正常",MIN($J176,12),"")</f>
        <v/>
      </c>
      <c r="L176" s="7">
        <f>IF($G176="正常",MAX($J176-12,0),"")</f>
        <v/>
      </c>
    </row>
    <row r="177">
      <c r="A177" s="3" t="inlineStr">
        <is>
          <t>沈学富</t>
        </is>
      </c>
      <c r="B177" s="3" t="inlineStr">
        <is>
          <t>8/21</t>
        </is>
      </c>
      <c r="C177" s="3" t="inlineStr">
        <is>
          <t>五</t>
        </is>
      </c>
      <c r="D177" s="3" t="inlineStr">
        <is>
          <t>06:59 19:01</t>
        </is>
      </c>
      <c r="E177" s="4" t="n">
        <v>0.2909722222222222</v>
      </c>
      <c r="F177" s="4" t="n">
        <v>0.7923611111111111</v>
      </c>
      <c r="G177" s="3">
        <f>IF($E177="","空卡",IF($F177="","单卡","正常"))</f>
        <v/>
      </c>
      <c r="H177" s="5">
        <f>IF($G177="正常",ROUND(($F177-$E177)*1440,0),"")</f>
        <v/>
      </c>
      <c r="I177" s="6">
        <f>IF($G177="正常",$H177/60,"")</f>
        <v/>
      </c>
      <c r="J177" s="7">
        <f>IF($G177="正常",ROUND($H177/30,0)/2,"")</f>
        <v/>
      </c>
      <c r="K177" s="7">
        <f>IF($G177="正常",MIN($J177,12),"")</f>
        <v/>
      </c>
      <c r="L177" s="7">
        <f>IF($G177="正常",MAX($J177-12,0),"")</f>
        <v/>
      </c>
    </row>
    <row r="178">
      <c r="A178" s="3" t="inlineStr">
        <is>
          <t>沈学富</t>
        </is>
      </c>
      <c r="B178" s="3" t="inlineStr">
        <is>
          <t>8/22</t>
        </is>
      </c>
      <c r="C178" s="3" t="inlineStr">
        <is>
          <t>六</t>
        </is>
      </c>
      <c r="D178" s="3" t="inlineStr">
        <is>
          <t>06:56 18:34</t>
        </is>
      </c>
      <c r="E178" s="4" t="n">
        <v>0.2888888888888889</v>
      </c>
      <c r="F178" s="4" t="n">
        <v>0.7736111111111111</v>
      </c>
      <c r="G178" s="3">
        <f>IF($E178="","空卡",IF($F178="","单卡","正常"))</f>
        <v/>
      </c>
      <c r="H178" s="5">
        <f>IF($G178="正常",ROUND(($F178-$E178)*1440,0),"")</f>
        <v/>
      </c>
      <c r="I178" s="6">
        <f>IF($G178="正常",$H178/60,"")</f>
        <v/>
      </c>
      <c r="J178" s="7">
        <f>IF($G178="正常",ROUND($H178/30,0)/2,"")</f>
        <v/>
      </c>
      <c r="K178" s="7">
        <f>IF($G178="正常",MIN($J178,12),"")</f>
        <v/>
      </c>
      <c r="L178" s="7">
        <f>IF($G178="正常",MAX($J178-12,0),"")</f>
        <v/>
      </c>
    </row>
    <row r="179">
      <c r="A179" s="3" t="inlineStr">
        <is>
          <t>沈学富</t>
        </is>
      </c>
      <c r="B179" s="3" t="inlineStr">
        <is>
          <t>8/23</t>
        </is>
      </c>
      <c r="C179" s="3" t="inlineStr">
        <is>
          <t>日</t>
        </is>
      </c>
      <c r="D179" s="3" t="inlineStr">
        <is>
          <t>07:03 18:02</t>
        </is>
      </c>
      <c r="E179" s="4" t="n">
        <v>0.29375</v>
      </c>
      <c r="F179" s="4" t="n">
        <v>0.7513888888888889</v>
      </c>
      <c r="G179" s="3">
        <f>IF($E179="","空卡",IF($F179="","单卡","正常"))</f>
        <v/>
      </c>
      <c r="H179" s="5">
        <f>IF($G179="正常",ROUND(($F179-$E179)*1440,0),"")</f>
        <v/>
      </c>
      <c r="I179" s="6">
        <f>IF($G179="正常",$H179/60,"")</f>
        <v/>
      </c>
      <c r="J179" s="7">
        <f>IF($G179="正常",ROUND($H179/30,0)/2,"")</f>
        <v/>
      </c>
      <c r="K179" s="7">
        <f>IF($G179="正常",MIN($J179,12),"")</f>
        <v/>
      </c>
      <c r="L179" s="7">
        <f>IF($G179="正常",MAX($J179-12,0),"")</f>
        <v/>
      </c>
    </row>
    <row r="180">
      <c r="A180" s="3" t="inlineStr">
        <is>
          <t>沈学富</t>
        </is>
      </c>
      <c r="B180" s="3" t="inlineStr">
        <is>
          <t>8/24</t>
        </is>
      </c>
      <c r="C180" s="3" t="inlineStr">
        <is>
          <t>一</t>
        </is>
      </c>
      <c r="D180" s="3" t="inlineStr">
        <is>
          <t>06:58 16:37</t>
        </is>
      </c>
      <c r="E180" s="4" t="n">
        <v>0.2902777777777778</v>
      </c>
      <c r="F180" s="4" t="n">
        <v>0.6923611111111111</v>
      </c>
      <c r="G180" s="3">
        <f>IF($E180="","空卡",IF($F180="","单卡","正常"))</f>
        <v/>
      </c>
      <c r="H180" s="5">
        <f>IF($G180="正常",ROUND(($F180-$E180)*1440,0),"")</f>
        <v/>
      </c>
      <c r="I180" s="6">
        <f>IF($G180="正常",$H180/60,"")</f>
        <v/>
      </c>
      <c r="J180" s="7">
        <f>IF($G180="正常",ROUND($H180/30,0)/2,"")</f>
        <v/>
      </c>
      <c r="K180" s="7">
        <f>IF($G180="正常",MIN($J180,12),"")</f>
        <v/>
      </c>
      <c r="L180" s="7">
        <f>IF($G180="正常",MAX($J180-12,0),"")</f>
        <v/>
      </c>
    </row>
    <row r="181">
      <c r="A181" s="3" t="inlineStr">
        <is>
          <t>沈学富</t>
        </is>
      </c>
      <c r="B181" s="3" t="inlineStr">
        <is>
          <t>8/25</t>
        </is>
      </c>
      <c r="C181" s="3" t="inlineStr">
        <is>
          <t>二</t>
        </is>
      </c>
      <c r="D181" s="3" t="inlineStr">
        <is>
          <t>07:56 19:36</t>
        </is>
      </c>
      <c r="E181" s="4" t="n">
        <v>0.3305555555555555</v>
      </c>
      <c r="F181" s="4" t="n">
        <v>0.8166666666666667</v>
      </c>
      <c r="G181" s="3">
        <f>IF($E181="","空卡",IF($F181="","单卡","正常"))</f>
        <v/>
      </c>
      <c r="H181" s="5">
        <f>IF($G181="正常",ROUND(($F181-$E181)*1440,0),"")</f>
        <v/>
      </c>
      <c r="I181" s="6">
        <f>IF($G181="正常",$H181/60,"")</f>
        <v/>
      </c>
      <c r="J181" s="7">
        <f>IF($G181="正常",ROUND($H181/30,0)/2,"")</f>
        <v/>
      </c>
      <c r="K181" s="7">
        <f>IF($G181="正常",MIN($J181,12),"")</f>
        <v/>
      </c>
      <c r="L181" s="7">
        <f>IF($G181="正常",MAX($J181-12,0),"")</f>
        <v/>
      </c>
    </row>
    <row r="182">
      <c r="A182" s="3" t="inlineStr">
        <is>
          <t>沈学富</t>
        </is>
      </c>
      <c r="B182" s="3" t="inlineStr">
        <is>
          <t>8/26</t>
        </is>
      </c>
      <c r="C182" s="3" t="inlineStr">
        <is>
          <t>三</t>
        </is>
      </c>
      <c r="D182" s="3" t="inlineStr">
        <is>
          <t>07:51 19:28</t>
        </is>
      </c>
      <c r="E182" s="4" t="n">
        <v>0.3270833333333333</v>
      </c>
      <c r="F182" s="4" t="n">
        <v>0.8111111111111111</v>
      </c>
      <c r="G182" s="3">
        <f>IF($E182="","空卡",IF($F182="","单卡","正常"))</f>
        <v/>
      </c>
      <c r="H182" s="5">
        <f>IF($G182="正常",ROUND(($F182-$E182)*1440,0),"")</f>
        <v/>
      </c>
      <c r="I182" s="6">
        <f>IF($G182="正常",$H182/60,"")</f>
        <v/>
      </c>
      <c r="J182" s="7">
        <f>IF($G182="正常",ROUND($H182/30,0)/2,"")</f>
        <v/>
      </c>
      <c r="K182" s="7">
        <f>IF($G182="正常",MIN($J182,12),"")</f>
        <v/>
      </c>
      <c r="L182" s="7">
        <f>IF($G182="正常",MAX($J182-12,0),"")</f>
        <v/>
      </c>
    </row>
    <row r="183">
      <c r="A183" s="3" t="inlineStr">
        <is>
          <t>沈学富</t>
        </is>
      </c>
      <c r="B183" s="3" t="inlineStr">
        <is>
          <t>8/27</t>
        </is>
      </c>
      <c r="C183" s="3" t="inlineStr">
        <is>
          <t>四</t>
        </is>
      </c>
      <c r="D183" s="3" t="inlineStr">
        <is>
          <t>07:54 19:07</t>
        </is>
      </c>
      <c r="E183" s="4" t="n">
        <v>0.3291666666666667</v>
      </c>
      <c r="F183" s="4" t="n">
        <v>0.7965277777777777</v>
      </c>
      <c r="G183" s="3">
        <f>IF($E183="","空卡",IF($F183="","单卡","正常"))</f>
        <v/>
      </c>
      <c r="H183" s="5">
        <f>IF($G183="正常",ROUND(($F183-$E183)*1440,0),"")</f>
        <v/>
      </c>
      <c r="I183" s="6">
        <f>IF($G183="正常",$H183/60,"")</f>
        <v/>
      </c>
      <c r="J183" s="7">
        <f>IF($G183="正常",ROUND($H183/30,0)/2,"")</f>
        <v/>
      </c>
      <c r="K183" s="7">
        <f>IF($G183="正常",MIN($J183,12),"")</f>
        <v/>
      </c>
      <c r="L183" s="7">
        <f>IF($G183="正常",MAX($J183-12,0),"")</f>
        <v/>
      </c>
    </row>
    <row r="184">
      <c r="A184" s="3" t="inlineStr">
        <is>
          <t>沈学富</t>
        </is>
      </c>
      <c r="B184" s="3" t="inlineStr">
        <is>
          <t>8/28</t>
        </is>
      </c>
      <c r="C184" s="3" t="inlineStr">
        <is>
          <t>五</t>
        </is>
      </c>
      <c r="D184" s="3" t="inlineStr">
        <is>
          <t>07:51 19:36</t>
        </is>
      </c>
      <c r="E184" s="4" t="n">
        <v>0.3270833333333333</v>
      </c>
      <c r="F184" s="4" t="n">
        <v>0.8166666666666667</v>
      </c>
      <c r="G184" s="3">
        <f>IF($E184="","空卡",IF($F184="","单卡","正常"))</f>
        <v/>
      </c>
      <c r="H184" s="5">
        <f>IF($G184="正常",ROUND(($F184-$E184)*1440,0),"")</f>
        <v/>
      </c>
      <c r="I184" s="6">
        <f>IF($G184="正常",$H184/60,"")</f>
        <v/>
      </c>
      <c r="J184" s="7">
        <f>IF($G184="正常",ROUND($H184/30,0)/2,"")</f>
        <v/>
      </c>
      <c r="K184" s="7">
        <f>IF($G184="正常",MIN($J184,12),"")</f>
        <v/>
      </c>
      <c r="L184" s="7">
        <f>IF($G184="正常",MAX($J184-12,0),"")</f>
        <v/>
      </c>
    </row>
    <row r="185">
      <c r="A185" s="3" t="inlineStr">
        <is>
          <t>沈学富</t>
        </is>
      </c>
      <c r="B185" s="3" t="inlineStr">
        <is>
          <t>8/29</t>
        </is>
      </c>
      <c r="C185" s="3" t="inlineStr">
        <is>
          <t>六</t>
        </is>
      </c>
      <c r="D185" s="3" t="inlineStr">
        <is>
          <t>07:55 22:56</t>
        </is>
      </c>
      <c r="E185" s="4" t="n">
        <v>0.3298611111111111</v>
      </c>
      <c r="F185" s="4" t="n">
        <v>0.9555555555555556</v>
      </c>
      <c r="G185" s="3">
        <f>IF($E185="","空卡",IF($F185="","单卡","正常"))</f>
        <v/>
      </c>
      <c r="H185" s="5">
        <f>IF($G185="正常",ROUND(($F185-$E185)*1440,0),"")</f>
        <v/>
      </c>
      <c r="I185" s="6">
        <f>IF($G185="正常",$H185/60,"")</f>
        <v/>
      </c>
      <c r="J185" s="7">
        <f>IF($G185="正常",ROUND($H185/30,0)/2,"")</f>
        <v/>
      </c>
      <c r="K185" s="7">
        <f>IF($G185="正常",MIN($J185,12),"")</f>
        <v/>
      </c>
      <c r="L185" s="7">
        <f>IF($G185="正常",MAX($J185-12,0),"")</f>
        <v/>
      </c>
    </row>
    <row r="186">
      <c r="A186" s="3" t="inlineStr">
        <is>
          <t>沈学富</t>
        </is>
      </c>
      <c r="B186" s="3" t="inlineStr">
        <is>
          <t>8/30</t>
        </is>
      </c>
      <c r="C186" s="3" t="inlineStr">
        <is>
          <t>日</t>
        </is>
      </c>
      <c r="D186" s="3" t="inlineStr">
        <is>
          <t>07:55 19:26</t>
        </is>
      </c>
      <c r="E186" s="4" t="n">
        <v>0.3298611111111111</v>
      </c>
      <c r="F186" s="4" t="n">
        <v>0.8097222222222222</v>
      </c>
      <c r="G186" s="3">
        <f>IF($E186="","空卡",IF($F186="","单卡","正常"))</f>
        <v/>
      </c>
      <c r="H186" s="5">
        <f>IF($G186="正常",ROUND(($F186-$E186)*1440,0),"")</f>
        <v/>
      </c>
      <c r="I186" s="6">
        <f>IF($G186="正常",$H186/60,"")</f>
        <v/>
      </c>
      <c r="J186" s="7">
        <f>IF($G186="正常",ROUND($H186/30,0)/2,"")</f>
        <v/>
      </c>
      <c r="K186" s="7">
        <f>IF($G186="正常",MIN($J186,12),"")</f>
        <v/>
      </c>
      <c r="L186" s="7">
        <f>IF($G186="正常",MAX($J186-12,0),"")</f>
        <v/>
      </c>
    </row>
    <row r="187">
      <c r="A187" s="3" t="inlineStr">
        <is>
          <t>沈学富</t>
        </is>
      </c>
      <c r="B187" s="3" t="inlineStr">
        <is>
          <t>8/31</t>
        </is>
      </c>
      <c r="C187" s="3" t="inlineStr">
        <is>
          <t>一</t>
        </is>
      </c>
      <c r="D187" s="3" t="inlineStr">
        <is>
          <t>16:37 19:03</t>
        </is>
      </c>
      <c r="E187" s="4" t="n">
        <v>0.6923611111111111</v>
      </c>
      <c r="F187" s="4" t="n">
        <v>0.79375</v>
      </c>
      <c r="G187" s="3">
        <f>IF($E187="","空卡",IF($F187="","单卡","正常"))</f>
        <v/>
      </c>
      <c r="H187" s="5">
        <f>IF($G187="正常",ROUND(($F187-$E187)*1440,0),"")</f>
        <v/>
      </c>
      <c r="I187" s="6">
        <f>IF($G187="正常",$H187/60,"")</f>
        <v/>
      </c>
      <c r="J187" s="7">
        <f>IF($G187="正常",ROUND($H187/30,0)/2,"")</f>
        <v/>
      </c>
      <c r="K187" s="7">
        <f>IF($G187="正常",MIN($J187,12),"")</f>
        <v/>
      </c>
      <c r="L187" s="7">
        <f>IF($G187="正常",MAX($J187-12,0),"")</f>
        <v/>
      </c>
    </row>
    <row r="188">
      <c r="A188" s="3" t="inlineStr">
        <is>
          <t>曾德双</t>
        </is>
      </c>
      <c r="B188" s="3" t="inlineStr">
        <is>
          <t>8/1</t>
        </is>
      </c>
      <c r="C188" s="3" t="inlineStr">
        <is>
          <t>六</t>
        </is>
      </c>
      <c r="D188" s="3" t="inlineStr">
        <is>
          <t>07:55 17:02</t>
        </is>
      </c>
      <c r="E188" s="4" t="n">
        <v>0.3298611111111111</v>
      </c>
      <c r="F188" s="4" t="n">
        <v>0.7097222222222223</v>
      </c>
      <c r="G188" s="3">
        <f>IF($E188="","空卡",IF($F188="","单卡","正常"))</f>
        <v/>
      </c>
      <c r="H188" s="5">
        <f>IF($G188="正常",ROUND(($F188-$E188)*1440,0),"")</f>
        <v/>
      </c>
      <c r="I188" s="6">
        <f>IF($G188="正常",$H188/60,"")</f>
        <v/>
      </c>
      <c r="J188" s="7">
        <f>IF($G188="正常",ROUND($H188/30,0)/2,"")</f>
        <v/>
      </c>
      <c r="K188" s="7">
        <f>IF($G188="正常",MIN($J188,12),"")</f>
        <v/>
      </c>
      <c r="L188" s="7">
        <f>IF($G188="正常",MAX($J188-12,0),"")</f>
        <v/>
      </c>
    </row>
    <row r="189">
      <c r="A189" s="3" t="inlineStr">
        <is>
          <t>曾德双</t>
        </is>
      </c>
      <c r="B189" s="3" t="inlineStr">
        <is>
          <t>8/2</t>
        </is>
      </c>
      <c r="C189" s="3" t="inlineStr">
        <is>
          <t>日</t>
        </is>
      </c>
      <c r="D189" s="3" t="inlineStr">
        <is>
          <t>07:54 14:58</t>
        </is>
      </c>
      <c r="E189" s="4" t="n">
        <v>0.3291666666666667</v>
      </c>
      <c r="F189" s="4" t="n">
        <v>0.6236111111111111</v>
      </c>
      <c r="G189" s="3">
        <f>IF($E189="","空卡",IF($F189="","单卡","正常"))</f>
        <v/>
      </c>
      <c r="H189" s="5">
        <f>IF($G189="正常",ROUND(($F189-$E189)*1440,0),"")</f>
        <v/>
      </c>
      <c r="I189" s="6">
        <f>IF($G189="正常",$H189/60,"")</f>
        <v/>
      </c>
      <c r="J189" s="7">
        <f>IF($G189="正常",ROUND($H189/30,0)/2,"")</f>
        <v/>
      </c>
      <c r="K189" s="7">
        <f>IF($G189="正常",MIN($J189,12),"")</f>
        <v/>
      </c>
      <c r="L189" s="7">
        <f>IF($G189="正常",MAX($J189-12,0),"")</f>
        <v/>
      </c>
    </row>
    <row r="190">
      <c r="A190" s="3" t="inlineStr">
        <is>
          <t>曾德双</t>
        </is>
      </c>
      <c r="B190" s="3" t="inlineStr">
        <is>
          <t>8/3</t>
        </is>
      </c>
      <c r="C190" s="3" t="inlineStr">
        <is>
          <t>一</t>
        </is>
      </c>
      <c r="D190" s="3" t="inlineStr">
        <is>
          <t>08:21 15:30</t>
        </is>
      </c>
      <c r="E190" s="4" t="n">
        <v>0.3479166666666667</v>
      </c>
      <c r="F190" s="4" t="n">
        <v>0.6458333333333334</v>
      </c>
      <c r="G190" s="3">
        <f>IF($E190="","空卡",IF($F190="","单卡","正常"))</f>
        <v/>
      </c>
      <c r="H190" s="5">
        <f>IF($G190="正常",ROUND(($F190-$E190)*1440,0),"")</f>
        <v/>
      </c>
      <c r="I190" s="6">
        <f>IF($G190="正常",$H190/60,"")</f>
        <v/>
      </c>
      <c r="J190" s="7">
        <f>IF($G190="正常",ROUND($H190/30,0)/2,"")</f>
        <v/>
      </c>
      <c r="K190" s="7">
        <f>IF($G190="正常",MIN($J190,12),"")</f>
        <v/>
      </c>
      <c r="L190" s="7">
        <f>IF($G190="正常",MAX($J190-12,0),"")</f>
        <v/>
      </c>
    </row>
    <row r="191">
      <c r="A191" s="3" t="inlineStr">
        <is>
          <t>曾德双</t>
        </is>
      </c>
      <c r="B191" s="3" t="inlineStr">
        <is>
          <t>8/4</t>
        </is>
      </c>
      <c r="C191" s="3" t="inlineStr">
        <is>
          <t>二</t>
        </is>
      </c>
      <c r="D191" s="3" t="inlineStr">
        <is>
          <t>09:00 19:32</t>
        </is>
      </c>
      <c r="E191" s="4" t="n">
        <v>0.375</v>
      </c>
      <c r="F191" s="4" t="n">
        <v>0.8138888888888889</v>
      </c>
      <c r="G191" s="3">
        <f>IF($E191="","空卡",IF($F191="","单卡","正常"))</f>
        <v/>
      </c>
      <c r="H191" s="5">
        <f>IF($G191="正常",ROUND(($F191-$E191)*1440,0),"")</f>
        <v/>
      </c>
      <c r="I191" s="6">
        <f>IF($G191="正常",$H191/60,"")</f>
        <v/>
      </c>
      <c r="J191" s="7">
        <f>IF($G191="正常",ROUND($H191/30,0)/2,"")</f>
        <v/>
      </c>
      <c r="K191" s="7">
        <f>IF($G191="正常",MIN($J191,12),"")</f>
        <v/>
      </c>
      <c r="L191" s="7">
        <f>IF($G191="正常",MAX($J191-12,0),"")</f>
        <v/>
      </c>
    </row>
    <row r="192">
      <c r="A192" s="3" t="inlineStr">
        <is>
          <t>曾德双</t>
        </is>
      </c>
      <c r="B192" s="3" t="inlineStr">
        <is>
          <t>8/5</t>
        </is>
      </c>
      <c r="C192" s="3" t="inlineStr">
        <is>
          <t>三</t>
        </is>
      </c>
      <c r="D192" s="3" t="inlineStr">
        <is>
          <t>09:54 19:36</t>
        </is>
      </c>
      <c r="E192" s="4" t="n">
        <v>0.4125</v>
      </c>
      <c r="F192" s="4" t="n">
        <v>0.8166666666666667</v>
      </c>
      <c r="G192" s="3">
        <f>IF($E192="","空卡",IF($F192="","单卡","正常"))</f>
        <v/>
      </c>
      <c r="H192" s="5">
        <f>IF($G192="正常",ROUND(($F192-$E192)*1440,0),"")</f>
        <v/>
      </c>
      <c r="I192" s="6">
        <f>IF($G192="正常",$H192/60,"")</f>
        <v/>
      </c>
      <c r="J192" s="7">
        <f>IF($G192="正常",ROUND($H192/30,0)/2,"")</f>
        <v/>
      </c>
      <c r="K192" s="7">
        <f>IF($G192="正常",MIN($J192,12),"")</f>
        <v/>
      </c>
      <c r="L192" s="7">
        <f>IF($G192="正常",MAX($J192-12,0),"")</f>
        <v/>
      </c>
    </row>
    <row r="193">
      <c r="A193" s="3" t="inlineStr">
        <is>
          <t>曾德双</t>
        </is>
      </c>
      <c r="B193" s="3" t="inlineStr">
        <is>
          <t>8/6</t>
        </is>
      </c>
      <c r="C193" s="3" t="inlineStr">
        <is>
          <t>四</t>
        </is>
      </c>
      <c r="D193" s="3" t="inlineStr">
        <is>
          <t>08:49 19:02</t>
        </is>
      </c>
      <c r="E193" s="4" t="n">
        <v>0.3673611111111111</v>
      </c>
      <c r="F193" s="4" t="n">
        <v>0.7930555555555555</v>
      </c>
      <c r="G193" s="3">
        <f>IF($E193="","空卡",IF($F193="","单卡","正常"))</f>
        <v/>
      </c>
      <c r="H193" s="5">
        <f>IF($G193="正常",ROUND(($F193-$E193)*1440,0),"")</f>
        <v/>
      </c>
      <c r="I193" s="6">
        <f>IF($G193="正常",$H193/60,"")</f>
        <v/>
      </c>
      <c r="J193" s="7">
        <f>IF($G193="正常",ROUND($H193/30,0)/2,"")</f>
        <v/>
      </c>
      <c r="K193" s="7">
        <f>IF($G193="正常",MIN($J193,12),"")</f>
        <v/>
      </c>
      <c r="L193" s="7">
        <f>IF($G193="正常",MAX($J193-12,0),"")</f>
        <v/>
      </c>
    </row>
    <row r="194">
      <c r="A194" s="3" t="inlineStr">
        <is>
          <t>曾德双</t>
        </is>
      </c>
      <c r="B194" s="3" t="inlineStr">
        <is>
          <t>8/7</t>
        </is>
      </c>
      <c r="C194" s="3" t="inlineStr">
        <is>
          <t>五</t>
        </is>
      </c>
      <c r="D194" s="3" t="inlineStr">
        <is>
          <t>06:52 19:30</t>
        </is>
      </c>
      <c r="E194" s="4" t="n">
        <v>0.2861111111111111</v>
      </c>
      <c r="F194" s="4" t="n">
        <v>0.8125</v>
      </c>
      <c r="G194" s="3">
        <f>IF($E194="","空卡",IF($F194="","单卡","正常"))</f>
        <v/>
      </c>
      <c r="H194" s="5">
        <f>IF($G194="正常",ROUND(($F194-$E194)*1440,0),"")</f>
        <v/>
      </c>
      <c r="I194" s="6">
        <f>IF($G194="正常",$H194/60,"")</f>
        <v/>
      </c>
      <c r="J194" s="7">
        <f>IF($G194="正常",ROUND($H194/30,0)/2,"")</f>
        <v/>
      </c>
      <c r="K194" s="7">
        <f>IF($G194="正常",MIN($J194,12),"")</f>
        <v/>
      </c>
      <c r="L194" s="7">
        <f>IF($G194="正常",MAX($J194-12,0),"")</f>
        <v/>
      </c>
    </row>
    <row r="195">
      <c r="A195" s="3" t="inlineStr">
        <is>
          <t>曾德双</t>
        </is>
      </c>
      <c r="B195" s="3" t="inlineStr">
        <is>
          <t>8/8</t>
        </is>
      </c>
      <c r="C195" s="3" t="inlineStr">
        <is>
          <t>六</t>
        </is>
      </c>
      <c r="D195" s="3" t="inlineStr">
        <is>
          <t>08:27 19:38</t>
        </is>
      </c>
      <c r="E195" s="4" t="n">
        <v>0.3520833333333334</v>
      </c>
      <c r="F195" s="4" t="n">
        <v>0.8180555555555555</v>
      </c>
      <c r="G195" s="3">
        <f>IF($E195="","空卡",IF($F195="","单卡","正常"))</f>
        <v/>
      </c>
      <c r="H195" s="5">
        <f>IF($G195="正常",ROUND(($F195-$E195)*1440,0),"")</f>
        <v/>
      </c>
      <c r="I195" s="6">
        <f>IF($G195="正常",$H195/60,"")</f>
        <v/>
      </c>
      <c r="J195" s="7">
        <f>IF($G195="正常",ROUND($H195/30,0)/2,"")</f>
        <v/>
      </c>
      <c r="K195" s="7">
        <f>IF($G195="正常",MIN($J195,12),"")</f>
        <v/>
      </c>
      <c r="L195" s="7">
        <f>IF($G195="正常",MAX($J195-12,0),"")</f>
        <v/>
      </c>
    </row>
    <row r="196">
      <c r="A196" s="8" t="inlineStr">
        <is>
          <t>曾德双</t>
        </is>
      </c>
      <c r="B196" s="8" t="inlineStr">
        <is>
          <t>8/9</t>
        </is>
      </c>
      <c r="C196" s="8" t="inlineStr">
        <is>
          <t>日</t>
        </is>
      </c>
      <c r="D196" s="8" t="inlineStr"/>
      <c r="E196" s="9" t="n"/>
      <c r="F196" s="9" t="n"/>
      <c r="G196" s="10">
        <f>IF($E196="","空卡",IF($F196="","单卡","正常"))</f>
        <v/>
      </c>
      <c r="H196" s="11">
        <f>IF($G196="正常",ROUND(($F196-$E196)*1440,0),"")</f>
        <v/>
      </c>
      <c r="I196" s="12">
        <f>IF($G196="正常",$H196/60,"")</f>
        <v/>
      </c>
      <c r="J196" s="13">
        <f>IF($G196="正常",ROUND($H196/30,0)/2,"")</f>
        <v/>
      </c>
      <c r="K196" s="13">
        <f>IF($G196="正常",MIN($J196,12),"")</f>
        <v/>
      </c>
      <c r="L196" s="13">
        <f>IF($G196="正常",MAX($J196-12,0),"")</f>
        <v/>
      </c>
    </row>
    <row r="197">
      <c r="A197" s="3" t="inlineStr">
        <is>
          <t>曾德双</t>
        </is>
      </c>
      <c r="B197" s="3" t="inlineStr">
        <is>
          <t>8/10</t>
        </is>
      </c>
      <c r="C197" s="3" t="inlineStr">
        <is>
          <t>一</t>
        </is>
      </c>
      <c r="D197" s="3" t="inlineStr">
        <is>
          <t>08:29 19:58</t>
        </is>
      </c>
      <c r="E197" s="4" t="n">
        <v>0.3534722222222222</v>
      </c>
      <c r="F197" s="4" t="n">
        <v>0.8319444444444445</v>
      </c>
      <c r="G197" s="3">
        <f>IF($E197="","空卡",IF($F197="","单卡","正常"))</f>
        <v/>
      </c>
      <c r="H197" s="5">
        <f>IF($G197="正常",ROUND(($F197-$E197)*1440,0),"")</f>
        <v/>
      </c>
      <c r="I197" s="6">
        <f>IF($G197="正常",$H197/60,"")</f>
        <v/>
      </c>
      <c r="J197" s="7">
        <f>IF($G197="正常",ROUND($H197/30,0)/2,"")</f>
        <v/>
      </c>
      <c r="K197" s="7">
        <f>IF($G197="正常",MIN($J197,12),"")</f>
        <v/>
      </c>
      <c r="L197" s="7">
        <f>IF($G197="正常",MAX($J197-12,0),"")</f>
        <v/>
      </c>
    </row>
    <row r="198">
      <c r="A198" s="3" t="inlineStr">
        <is>
          <t>曾德双</t>
        </is>
      </c>
      <c r="B198" s="3" t="inlineStr">
        <is>
          <t>8/11</t>
        </is>
      </c>
      <c r="C198" s="3" t="inlineStr">
        <is>
          <t>二</t>
        </is>
      </c>
      <c r="D198" s="3" t="inlineStr">
        <is>
          <t>08:27 18:08</t>
        </is>
      </c>
      <c r="E198" s="4" t="n">
        <v>0.3520833333333334</v>
      </c>
      <c r="F198" s="4" t="n">
        <v>0.7555555555555555</v>
      </c>
      <c r="G198" s="3">
        <f>IF($E198="","空卡",IF($F198="","单卡","正常"))</f>
        <v/>
      </c>
      <c r="H198" s="5">
        <f>IF($G198="正常",ROUND(($F198-$E198)*1440,0),"")</f>
        <v/>
      </c>
      <c r="I198" s="6">
        <f>IF($G198="正常",$H198/60,"")</f>
        <v/>
      </c>
      <c r="J198" s="7">
        <f>IF($G198="正常",ROUND($H198/30,0)/2,"")</f>
        <v/>
      </c>
      <c r="K198" s="7">
        <f>IF($G198="正常",MIN($J198,12),"")</f>
        <v/>
      </c>
      <c r="L198" s="7">
        <f>IF($G198="正常",MAX($J198-12,0),"")</f>
        <v/>
      </c>
    </row>
    <row r="199">
      <c r="A199" s="3" t="inlineStr">
        <is>
          <t>曾德双</t>
        </is>
      </c>
      <c r="B199" s="3" t="inlineStr">
        <is>
          <t>8/12</t>
        </is>
      </c>
      <c r="C199" s="3" t="inlineStr">
        <is>
          <t>三</t>
        </is>
      </c>
      <c r="D199" s="3" t="inlineStr">
        <is>
          <t>09:54 18:34</t>
        </is>
      </c>
      <c r="E199" s="4" t="n">
        <v>0.4125</v>
      </c>
      <c r="F199" s="4" t="n">
        <v>0.7736111111111111</v>
      </c>
      <c r="G199" s="3">
        <f>IF($E199="","空卡",IF($F199="","单卡","正常"))</f>
        <v/>
      </c>
      <c r="H199" s="5">
        <f>IF($G199="正常",ROUND(($F199-$E199)*1440,0),"")</f>
        <v/>
      </c>
      <c r="I199" s="6">
        <f>IF($G199="正常",$H199/60,"")</f>
        <v/>
      </c>
      <c r="J199" s="7">
        <f>IF($G199="正常",ROUND($H199/30,0)/2,"")</f>
        <v/>
      </c>
      <c r="K199" s="7">
        <f>IF($G199="正常",MIN($J199,12),"")</f>
        <v/>
      </c>
      <c r="L199" s="7">
        <f>IF($G199="正常",MAX($J199-12,0),"")</f>
        <v/>
      </c>
    </row>
    <row r="200">
      <c r="A200" s="3" t="inlineStr">
        <is>
          <t>曾德双</t>
        </is>
      </c>
      <c r="B200" s="3" t="inlineStr">
        <is>
          <t>8/13</t>
        </is>
      </c>
      <c r="C200" s="3" t="inlineStr">
        <is>
          <t>四</t>
        </is>
      </c>
      <c r="D200" s="3" t="inlineStr">
        <is>
          <t>08:29 19:01</t>
        </is>
      </c>
      <c r="E200" s="4" t="n">
        <v>0.3534722222222222</v>
      </c>
      <c r="F200" s="4" t="n">
        <v>0.7923611111111111</v>
      </c>
      <c r="G200" s="3">
        <f>IF($E200="","空卡",IF($F200="","单卡","正常"))</f>
        <v/>
      </c>
      <c r="H200" s="5">
        <f>IF($G200="正常",ROUND(($F200-$E200)*1440,0),"")</f>
        <v/>
      </c>
      <c r="I200" s="6">
        <f>IF($G200="正常",$H200/60,"")</f>
        <v/>
      </c>
      <c r="J200" s="7">
        <f>IF($G200="正常",ROUND($H200/30,0)/2,"")</f>
        <v/>
      </c>
      <c r="K200" s="7">
        <f>IF($G200="正常",MIN($J200,12),"")</f>
        <v/>
      </c>
      <c r="L200" s="7">
        <f>IF($G200="正常",MAX($J200-12,0),"")</f>
        <v/>
      </c>
    </row>
    <row r="201">
      <c r="A201" s="3" t="inlineStr">
        <is>
          <t>曾德双</t>
        </is>
      </c>
      <c r="B201" s="3" t="inlineStr">
        <is>
          <t>8/14</t>
        </is>
      </c>
      <c r="C201" s="3" t="inlineStr">
        <is>
          <t>五</t>
        </is>
      </c>
      <c r="D201" s="3" t="inlineStr">
        <is>
          <t>08:25 20:56</t>
        </is>
      </c>
      <c r="E201" s="4" t="n">
        <v>0.3506944444444444</v>
      </c>
      <c r="F201" s="4" t="n">
        <v>0.8722222222222222</v>
      </c>
      <c r="G201" s="3">
        <f>IF($E201="","空卡",IF($F201="","单卡","正常"))</f>
        <v/>
      </c>
      <c r="H201" s="5">
        <f>IF($G201="正常",ROUND(($F201-$E201)*1440,0),"")</f>
        <v/>
      </c>
      <c r="I201" s="6">
        <f>IF($G201="正常",$H201/60,"")</f>
        <v/>
      </c>
      <c r="J201" s="7">
        <f>IF($G201="正常",ROUND($H201/30,0)/2,"")</f>
        <v/>
      </c>
      <c r="K201" s="7">
        <f>IF($G201="正常",MIN($J201,12),"")</f>
        <v/>
      </c>
      <c r="L201" s="7">
        <f>IF($G201="正常",MAX($J201-12,0),"")</f>
        <v/>
      </c>
    </row>
    <row r="202">
      <c r="A202" s="3" t="inlineStr">
        <is>
          <t>曾德双</t>
        </is>
      </c>
      <c r="B202" s="3" t="inlineStr">
        <is>
          <t>8/15</t>
        </is>
      </c>
      <c r="C202" s="3" t="inlineStr">
        <is>
          <t>六</t>
        </is>
      </c>
      <c r="D202" s="3" t="inlineStr">
        <is>
          <t>06:56 19:02</t>
        </is>
      </c>
      <c r="E202" s="4" t="n">
        <v>0.2888888888888889</v>
      </c>
      <c r="F202" s="4" t="n">
        <v>0.7930555555555555</v>
      </c>
      <c r="G202" s="3">
        <f>IF($E202="","空卡",IF($F202="","单卡","正常"))</f>
        <v/>
      </c>
      <c r="H202" s="5">
        <f>IF($G202="正常",ROUND(($F202-$E202)*1440,0),"")</f>
        <v/>
      </c>
      <c r="I202" s="6">
        <f>IF($G202="正常",$H202/60,"")</f>
        <v/>
      </c>
      <c r="J202" s="7">
        <f>IF($G202="正常",ROUND($H202/30,0)/2,"")</f>
        <v/>
      </c>
      <c r="K202" s="7">
        <f>IF($G202="正常",MIN($J202,12),"")</f>
        <v/>
      </c>
      <c r="L202" s="7">
        <f>IF($G202="正常",MAX($J202-12,0),"")</f>
        <v/>
      </c>
    </row>
    <row r="203">
      <c r="A203" s="8" t="inlineStr">
        <is>
          <t>曾德双</t>
        </is>
      </c>
      <c r="B203" s="8" t="inlineStr">
        <is>
          <t>8/16</t>
        </is>
      </c>
      <c r="C203" s="8" t="inlineStr">
        <is>
          <t>日</t>
        </is>
      </c>
      <c r="D203" s="8" t="inlineStr"/>
      <c r="E203" s="9" t="n"/>
      <c r="F203" s="9" t="n"/>
      <c r="G203" s="10">
        <f>IF($E203="","空卡",IF($F203="","单卡","正常"))</f>
        <v/>
      </c>
      <c r="H203" s="11">
        <f>IF($G203="正常",ROUND(($F203-$E203)*1440,0),"")</f>
        <v/>
      </c>
      <c r="I203" s="12">
        <f>IF($G203="正常",$H203/60,"")</f>
        <v/>
      </c>
      <c r="J203" s="13">
        <f>IF($G203="正常",ROUND($H203/30,0)/2,"")</f>
        <v/>
      </c>
      <c r="K203" s="13">
        <f>IF($G203="正常",MIN($J203,12),"")</f>
        <v/>
      </c>
      <c r="L203" s="13">
        <f>IF($G203="正常",MAX($J203-12,0),"")</f>
        <v/>
      </c>
    </row>
    <row r="204">
      <c r="A204" s="3" t="inlineStr">
        <is>
          <t>曾德双</t>
        </is>
      </c>
      <c r="B204" s="3" t="inlineStr">
        <is>
          <t>8/17</t>
        </is>
      </c>
      <c r="C204" s="3" t="inlineStr">
        <is>
          <t>一</t>
        </is>
      </c>
      <c r="D204" s="3" t="inlineStr">
        <is>
          <t>07:57 19:59</t>
        </is>
      </c>
      <c r="E204" s="4" t="n">
        <v>0.33125</v>
      </c>
      <c r="F204" s="4" t="n">
        <v>0.8326388888888889</v>
      </c>
      <c r="G204" s="3">
        <f>IF($E204="","空卡",IF($F204="","单卡","正常"))</f>
        <v/>
      </c>
      <c r="H204" s="5">
        <f>IF($G204="正常",ROUND(($F204-$E204)*1440,0),"")</f>
        <v/>
      </c>
      <c r="I204" s="6">
        <f>IF($G204="正常",$H204/60,"")</f>
        <v/>
      </c>
      <c r="J204" s="7">
        <f>IF($G204="正常",ROUND($H204/30,0)/2,"")</f>
        <v/>
      </c>
      <c r="K204" s="7">
        <f>IF($G204="正常",MIN($J204,12),"")</f>
        <v/>
      </c>
      <c r="L204" s="7">
        <f>IF($G204="正常",MAX($J204-12,0),"")</f>
        <v/>
      </c>
    </row>
    <row r="205">
      <c r="A205" s="3" t="inlineStr">
        <is>
          <t>曾德双</t>
        </is>
      </c>
      <c r="B205" s="3" t="inlineStr">
        <is>
          <t>8/18</t>
        </is>
      </c>
      <c r="C205" s="3" t="inlineStr">
        <is>
          <t>二</t>
        </is>
      </c>
      <c r="D205" s="3" t="inlineStr">
        <is>
          <t>07:59 18:56</t>
        </is>
      </c>
      <c r="E205" s="4" t="n">
        <v>0.3326388888888889</v>
      </c>
      <c r="F205" s="4" t="n">
        <v>0.7888888888888889</v>
      </c>
      <c r="G205" s="3">
        <f>IF($E205="","空卡",IF($F205="","单卡","正常"))</f>
        <v/>
      </c>
      <c r="H205" s="5">
        <f>IF($G205="正常",ROUND(($F205-$E205)*1440,0),"")</f>
        <v/>
      </c>
      <c r="I205" s="6">
        <f>IF($G205="正常",$H205/60,"")</f>
        <v/>
      </c>
      <c r="J205" s="7">
        <f>IF($G205="正常",ROUND($H205/30,0)/2,"")</f>
        <v/>
      </c>
      <c r="K205" s="7">
        <f>IF($G205="正常",MIN($J205,12),"")</f>
        <v/>
      </c>
      <c r="L205" s="7">
        <f>IF($G205="正常",MAX($J205-12,0),"")</f>
        <v/>
      </c>
    </row>
    <row r="206">
      <c r="A206" s="3" t="inlineStr">
        <is>
          <t>曾德双</t>
        </is>
      </c>
      <c r="B206" s="3" t="inlineStr">
        <is>
          <t>8/19</t>
        </is>
      </c>
      <c r="C206" s="3" t="inlineStr">
        <is>
          <t>三</t>
        </is>
      </c>
      <c r="D206" s="3" t="inlineStr">
        <is>
          <t>07:25 20:31</t>
        </is>
      </c>
      <c r="E206" s="4" t="n">
        <v>0.3090277777777778</v>
      </c>
      <c r="F206" s="4" t="n">
        <v>0.8548611111111111</v>
      </c>
      <c r="G206" s="3">
        <f>IF($E206="","空卡",IF($F206="","单卡","正常"))</f>
        <v/>
      </c>
      <c r="H206" s="5">
        <f>IF($G206="正常",ROUND(($F206-$E206)*1440,0),"")</f>
        <v/>
      </c>
      <c r="I206" s="6">
        <f>IF($G206="正常",$H206/60,"")</f>
        <v/>
      </c>
      <c r="J206" s="7">
        <f>IF($G206="正常",ROUND($H206/30,0)/2,"")</f>
        <v/>
      </c>
      <c r="K206" s="7">
        <f>IF($G206="正常",MIN($J206,12),"")</f>
        <v/>
      </c>
      <c r="L206" s="7">
        <f>IF($G206="正常",MAX($J206-12,0),"")</f>
        <v/>
      </c>
    </row>
    <row r="207">
      <c r="A207" s="3" t="inlineStr">
        <is>
          <t>曾德双</t>
        </is>
      </c>
      <c r="B207" s="3" t="inlineStr">
        <is>
          <t>8/20</t>
        </is>
      </c>
      <c r="C207" s="3" t="inlineStr">
        <is>
          <t>四</t>
        </is>
      </c>
      <c r="D207" s="3" t="inlineStr">
        <is>
          <t>10:19 19:59</t>
        </is>
      </c>
      <c r="E207" s="4" t="n">
        <v>0.4298611111111111</v>
      </c>
      <c r="F207" s="4" t="n">
        <v>0.8326388888888889</v>
      </c>
      <c r="G207" s="3">
        <f>IF($E207="","空卡",IF($F207="","单卡","正常"))</f>
        <v/>
      </c>
      <c r="H207" s="5">
        <f>IF($G207="正常",ROUND(($F207-$E207)*1440,0),"")</f>
        <v/>
      </c>
      <c r="I207" s="6">
        <f>IF($G207="正常",$H207/60,"")</f>
        <v/>
      </c>
      <c r="J207" s="7">
        <f>IF($G207="正常",ROUND($H207/30,0)/2,"")</f>
        <v/>
      </c>
      <c r="K207" s="7">
        <f>IF($G207="正常",MIN($J207,12),"")</f>
        <v/>
      </c>
      <c r="L207" s="7">
        <f>IF($G207="正常",MAX($J207-12,0),"")</f>
        <v/>
      </c>
    </row>
    <row r="208">
      <c r="A208" s="3" t="inlineStr">
        <is>
          <t>曾德双</t>
        </is>
      </c>
      <c r="B208" s="3" t="inlineStr">
        <is>
          <t>8/21</t>
        </is>
      </c>
      <c r="C208" s="3" t="inlineStr">
        <is>
          <t>五</t>
        </is>
      </c>
      <c r="D208" s="3" t="inlineStr">
        <is>
          <t>06:56 19:04</t>
        </is>
      </c>
      <c r="E208" s="4" t="n">
        <v>0.2888888888888889</v>
      </c>
      <c r="F208" s="4" t="n">
        <v>0.7944444444444444</v>
      </c>
      <c r="G208" s="3">
        <f>IF($E208="","空卡",IF($F208="","单卡","正常"))</f>
        <v/>
      </c>
      <c r="H208" s="5">
        <f>IF($G208="正常",ROUND(($F208-$E208)*1440,0),"")</f>
        <v/>
      </c>
      <c r="I208" s="6">
        <f>IF($G208="正常",$H208/60,"")</f>
        <v/>
      </c>
      <c r="J208" s="7">
        <f>IF($G208="正常",ROUND($H208/30,0)/2,"")</f>
        <v/>
      </c>
      <c r="K208" s="7">
        <f>IF($G208="正常",MIN($J208,12),"")</f>
        <v/>
      </c>
      <c r="L208" s="7">
        <f>IF($G208="正常",MAX($J208-12,0),"")</f>
        <v/>
      </c>
    </row>
    <row r="209">
      <c r="A209" s="3" t="inlineStr">
        <is>
          <t>曾德双</t>
        </is>
      </c>
      <c r="B209" s="3" t="inlineStr">
        <is>
          <t>8/22</t>
        </is>
      </c>
      <c r="C209" s="3" t="inlineStr">
        <is>
          <t>六</t>
        </is>
      </c>
      <c r="D209" s="3" t="inlineStr">
        <is>
          <t>06:52 18:31</t>
        </is>
      </c>
      <c r="E209" s="4" t="n">
        <v>0.2861111111111111</v>
      </c>
      <c r="F209" s="4" t="n">
        <v>0.7715277777777778</v>
      </c>
      <c r="G209" s="3">
        <f>IF($E209="","空卡",IF($F209="","单卡","正常"))</f>
        <v/>
      </c>
      <c r="H209" s="5">
        <f>IF($G209="正常",ROUND(($F209-$E209)*1440,0),"")</f>
        <v/>
      </c>
      <c r="I209" s="6">
        <f>IF($G209="正常",$H209/60,"")</f>
        <v/>
      </c>
      <c r="J209" s="7">
        <f>IF($G209="正常",ROUND($H209/30,0)/2,"")</f>
        <v/>
      </c>
      <c r="K209" s="7">
        <f>IF($G209="正常",MIN($J209,12),"")</f>
        <v/>
      </c>
      <c r="L209" s="7">
        <f>IF($G209="正常",MAX($J209-12,0),"")</f>
        <v/>
      </c>
    </row>
    <row r="210">
      <c r="A210" s="3" t="inlineStr">
        <is>
          <t>曾德双</t>
        </is>
      </c>
      <c r="B210" s="3" t="inlineStr">
        <is>
          <t>8/23</t>
        </is>
      </c>
      <c r="C210" s="3" t="inlineStr">
        <is>
          <t>日</t>
        </is>
      </c>
      <c r="D210" s="3" t="inlineStr">
        <is>
          <t>06:51 18:00</t>
        </is>
      </c>
      <c r="E210" s="4" t="n">
        <v>0.2854166666666667</v>
      </c>
      <c r="F210" s="4" t="n">
        <v>0.75</v>
      </c>
      <c r="G210" s="3">
        <f>IF($E210="","空卡",IF($F210="","单卡","正常"))</f>
        <v/>
      </c>
      <c r="H210" s="5">
        <f>IF($G210="正常",ROUND(($F210-$E210)*1440,0),"")</f>
        <v/>
      </c>
      <c r="I210" s="6">
        <f>IF($G210="正常",$H210/60,"")</f>
        <v/>
      </c>
      <c r="J210" s="7">
        <f>IF($G210="正常",ROUND($H210/30,0)/2,"")</f>
        <v/>
      </c>
      <c r="K210" s="7">
        <f>IF($G210="正常",MIN($J210,12),"")</f>
        <v/>
      </c>
      <c r="L210" s="7">
        <f>IF($G210="正常",MAX($J210-12,0),"")</f>
        <v/>
      </c>
    </row>
    <row r="211">
      <c r="A211" s="3" t="inlineStr">
        <is>
          <t>曾德双</t>
        </is>
      </c>
      <c r="B211" s="3" t="inlineStr">
        <is>
          <t>8/24</t>
        </is>
      </c>
      <c r="C211" s="3" t="inlineStr">
        <is>
          <t>一</t>
        </is>
      </c>
      <c r="D211" s="3" t="inlineStr">
        <is>
          <t>06:56 16:37</t>
        </is>
      </c>
      <c r="E211" s="4" t="n">
        <v>0.2888888888888889</v>
      </c>
      <c r="F211" s="4" t="n">
        <v>0.6923611111111111</v>
      </c>
      <c r="G211" s="3">
        <f>IF($E211="","空卡",IF($F211="","单卡","正常"))</f>
        <v/>
      </c>
      <c r="H211" s="5">
        <f>IF($G211="正常",ROUND(($F211-$E211)*1440,0),"")</f>
        <v/>
      </c>
      <c r="I211" s="6">
        <f>IF($G211="正常",$H211/60,"")</f>
        <v/>
      </c>
      <c r="J211" s="7">
        <f>IF($G211="正常",ROUND($H211/30,0)/2,"")</f>
        <v/>
      </c>
      <c r="K211" s="7">
        <f>IF($G211="正常",MIN($J211,12),"")</f>
        <v/>
      </c>
      <c r="L211" s="7">
        <f>IF($G211="正常",MAX($J211-12,0),"")</f>
        <v/>
      </c>
    </row>
    <row r="212">
      <c r="A212" s="8" t="inlineStr">
        <is>
          <t>曾德双</t>
        </is>
      </c>
      <c r="B212" s="8" t="inlineStr">
        <is>
          <t>8/25</t>
        </is>
      </c>
      <c r="C212" s="8" t="inlineStr">
        <is>
          <t>二</t>
        </is>
      </c>
      <c r="D212" s="8" t="inlineStr"/>
      <c r="E212" s="9" t="n"/>
      <c r="F212" s="9" t="n"/>
      <c r="G212" s="10">
        <f>IF($E212="","空卡",IF($F212="","单卡","正常"))</f>
        <v/>
      </c>
      <c r="H212" s="11">
        <f>IF($G212="正常",ROUND(($F212-$E212)*1440,0),"")</f>
        <v/>
      </c>
      <c r="I212" s="12">
        <f>IF($G212="正常",$H212/60,"")</f>
        <v/>
      </c>
      <c r="J212" s="13">
        <f>IF($G212="正常",ROUND($H212/30,0)/2,"")</f>
        <v/>
      </c>
      <c r="K212" s="13">
        <f>IF($G212="正常",MIN($J212,12),"")</f>
        <v/>
      </c>
      <c r="L212" s="13">
        <f>IF($G212="正常",MAX($J212-12,0),"")</f>
        <v/>
      </c>
    </row>
    <row r="213">
      <c r="A213" s="3" t="inlineStr">
        <is>
          <t>曾德双</t>
        </is>
      </c>
      <c r="B213" s="3" t="inlineStr">
        <is>
          <t>8/26</t>
        </is>
      </c>
      <c r="C213" s="3" t="inlineStr">
        <is>
          <t>三</t>
        </is>
      </c>
      <c r="D213" s="3" t="inlineStr">
        <is>
          <t>07:54 18:55</t>
        </is>
      </c>
      <c r="E213" s="4" t="n">
        <v>0.3291666666666667</v>
      </c>
      <c r="F213" s="4" t="n">
        <v>0.7881944444444444</v>
      </c>
      <c r="G213" s="3">
        <f>IF($E213="","空卡",IF($F213="","单卡","正常"))</f>
        <v/>
      </c>
      <c r="H213" s="5">
        <f>IF($G213="正常",ROUND(($F213-$E213)*1440,0),"")</f>
        <v/>
      </c>
      <c r="I213" s="6">
        <f>IF($G213="正常",$H213/60,"")</f>
        <v/>
      </c>
      <c r="J213" s="7">
        <f>IF($G213="正常",ROUND($H213/30,0)/2,"")</f>
        <v/>
      </c>
      <c r="K213" s="7">
        <f>IF($G213="正常",MIN($J213,12),"")</f>
        <v/>
      </c>
      <c r="L213" s="7">
        <f>IF($G213="正常",MAX($J213-12,0),"")</f>
        <v/>
      </c>
    </row>
    <row r="214">
      <c r="A214" s="3" t="inlineStr">
        <is>
          <t>曾德双</t>
        </is>
      </c>
      <c r="B214" s="3" t="inlineStr">
        <is>
          <t>8/27</t>
        </is>
      </c>
      <c r="C214" s="3" t="inlineStr">
        <is>
          <t>四</t>
        </is>
      </c>
      <c r="D214" s="3" t="inlineStr">
        <is>
          <t>07:54 19:21</t>
        </is>
      </c>
      <c r="E214" s="4" t="n">
        <v>0.3291666666666667</v>
      </c>
      <c r="F214" s="4" t="n">
        <v>0.80625</v>
      </c>
      <c r="G214" s="3">
        <f>IF($E214="","空卡",IF($F214="","单卡","正常"))</f>
        <v/>
      </c>
      <c r="H214" s="5">
        <f>IF($G214="正常",ROUND(($F214-$E214)*1440,0),"")</f>
        <v/>
      </c>
      <c r="I214" s="6">
        <f>IF($G214="正常",$H214/60,"")</f>
        <v/>
      </c>
      <c r="J214" s="7">
        <f>IF($G214="正常",ROUND($H214/30,0)/2,"")</f>
        <v/>
      </c>
      <c r="K214" s="7">
        <f>IF($G214="正常",MIN($J214,12),"")</f>
        <v/>
      </c>
      <c r="L214" s="7">
        <f>IF($G214="正常",MAX($J214-12,0),"")</f>
        <v/>
      </c>
    </row>
    <row r="215">
      <c r="A215" s="3" t="inlineStr">
        <is>
          <t>曾德双</t>
        </is>
      </c>
      <c r="B215" s="3" t="inlineStr">
        <is>
          <t>8/28</t>
        </is>
      </c>
      <c r="C215" s="3" t="inlineStr">
        <is>
          <t>五</t>
        </is>
      </c>
      <c r="D215" s="3" t="inlineStr">
        <is>
          <t>07:56 18:28</t>
        </is>
      </c>
      <c r="E215" s="4" t="n">
        <v>0.3305555555555555</v>
      </c>
      <c r="F215" s="4" t="n">
        <v>0.7694444444444445</v>
      </c>
      <c r="G215" s="3">
        <f>IF($E215="","空卡",IF($F215="","单卡","正常"))</f>
        <v/>
      </c>
      <c r="H215" s="5">
        <f>IF($G215="正常",ROUND(($F215-$E215)*1440,0),"")</f>
        <v/>
      </c>
      <c r="I215" s="6">
        <f>IF($G215="正常",$H215/60,"")</f>
        <v/>
      </c>
      <c r="J215" s="7">
        <f>IF($G215="正常",ROUND($H215/30,0)/2,"")</f>
        <v/>
      </c>
      <c r="K215" s="7">
        <f>IF($G215="正常",MIN($J215,12),"")</f>
        <v/>
      </c>
      <c r="L215" s="7">
        <f>IF($G215="正常",MAX($J215-12,0),"")</f>
        <v/>
      </c>
    </row>
    <row r="216">
      <c r="A216" s="3" t="inlineStr">
        <is>
          <t>曾德双</t>
        </is>
      </c>
      <c r="B216" s="3" t="inlineStr">
        <is>
          <t>8/29</t>
        </is>
      </c>
      <c r="C216" s="3" t="inlineStr">
        <is>
          <t>六</t>
        </is>
      </c>
      <c r="D216" s="3" t="inlineStr">
        <is>
          <t>07:54 22:01</t>
        </is>
      </c>
      <c r="E216" s="4" t="n">
        <v>0.3291666666666667</v>
      </c>
      <c r="F216" s="4" t="n">
        <v>0.9173611111111111</v>
      </c>
      <c r="G216" s="3">
        <f>IF($E216="","空卡",IF($F216="","单卡","正常"))</f>
        <v/>
      </c>
      <c r="H216" s="5">
        <f>IF($G216="正常",ROUND(($F216-$E216)*1440,0),"")</f>
        <v/>
      </c>
      <c r="I216" s="6">
        <f>IF($G216="正常",$H216/60,"")</f>
        <v/>
      </c>
      <c r="J216" s="7">
        <f>IF($G216="正常",ROUND($H216/30,0)/2,"")</f>
        <v/>
      </c>
      <c r="K216" s="7">
        <f>IF($G216="正常",MIN($J216,12),"")</f>
        <v/>
      </c>
      <c r="L216" s="7">
        <f>IF($G216="正常",MAX($J216-12,0),"")</f>
        <v/>
      </c>
    </row>
    <row r="217">
      <c r="A217" s="3" t="inlineStr">
        <is>
          <t>曾德双</t>
        </is>
      </c>
      <c r="B217" s="3" t="inlineStr">
        <is>
          <t>8/30</t>
        </is>
      </c>
      <c r="C217" s="3" t="inlineStr">
        <is>
          <t>日</t>
        </is>
      </c>
      <c r="D217" s="3" t="inlineStr">
        <is>
          <t>07:54 18:45</t>
        </is>
      </c>
      <c r="E217" s="4" t="n">
        <v>0.3291666666666667</v>
      </c>
      <c r="F217" s="4" t="n">
        <v>0.78125</v>
      </c>
      <c r="G217" s="3">
        <f>IF($E217="","空卡",IF($F217="","单卡","正常"))</f>
        <v/>
      </c>
      <c r="H217" s="5">
        <f>IF($G217="正常",ROUND(($F217-$E217)*1440,0),"")</f>
        <v/>
      </c>
      <c r="I217" s="6">
        <f>IF($G217="正常",$H217/60,"")</f>
        <v/>
      </c>
      <c r="J217" s="7">
        <f>IF($G217="正常",ROUND($H217/30,0)/2,"")</f>
        <v/>
      </c>
      <c r="K217" s="7">
        <f>IF($G217="正常",MIN($J217,12),"")</f>
        <v/>
      </c>
      <c r="L217" s="7">
        <f>IF($G217="正常",MAX($J217-12,0),"")</f>
        <v/>
      </c>
    </row>
    <row r="218">
      <c r="A218" s="8" t="inlineStr">
        <is>
          <t>曾德双</t>
        </is>
      </c>
      <c r="B218" s="8" t="inlineStr">
        <is>
          <t>8/31</t>
        </is>
      </c>
      <c r="C218" s="8" t="inlineStr">
        <is>
          <t>一</t>
        </is>
      </c>
      <c r="D218" s="8" t="inlineStr"/>
      <c r="E218" s="9" t="n"/>
      <c r="F218" s="9" t="n"/>
      <c r="G218" s="10">
        <f>IF($E218="","空卡",IF($F218="","单卡","正常"))</f>
        <v/>
      </c>
      <c r="H218" s="11">
        <f>IF($G218="正常",ROUND(($F218-$E218)*1440,0),"")</f>
        <v/>
      </c>
      <c r="I218" s="12">
        <f>IF($G218="正常",$H218/60,"")</f>
        <v/>
      </c>
      <c r="J218" s="13">
        <f>IF($G218="正常",ROUND($H218/30,0)/2,"")</f>
        <v/>
      </c>
      <c r="K218" s="13">
        <f>IF($G218="正常",MIN($J218,12),"")</f>
        <v/>
      </c>
      <c r="L218" s="13">
        <f>IF($G218="正常",MAX($J218-12,0),"")</f>
        <v/>
      </c>
    </row>
    <row r="219">
      <c r="A219" s="3" t="inlineStr">
        <is>
          <t>喻碧</t>
        </is>
      </c>
      <c r="B219" s="3" t="inlineStr">
        <is>
          <t>8/1</t>
        </is>
      </c>
      <c r="C219" s="3" t="inlineStr">
        <is>
          <t>六</t>
        </is>
      </c>
      <c r="D219" s="3" t="inlineStr">
        <is>
          <t>07:53 17:00</t>
        </is>
      </c>
      <c r="E219" s="4" t="n">
        <v>0.3284722222222222</v>
      </c>
      <c r="F219" s="4" t="n">
        <v>0.7083333333333334</v>
      </c>
      <c r="G219" s="3">
        <f>IF($E219="","空卡",IF($F219="","单卡","正常"))</f>
        <v/>
      </c>
      <c r="H219" s="5">
        <f>IF($G219="正常",ROUND(($F219-$E219)*1440,0),"")</f>
        <v/>
      </c>
      <c r="I219" s="6">
        <f>IF($G219="正常",$H219/60,"")</f>
        <v/>
      </c>
      <c r="J219" s="7">
        <f>IF($G219="正常",ROUND($H219/30,0)/2,"")</f>
        <v/>
      </c>
      <c r="K219" s="7">
        <f>IF($G219="正常",MIN($J219,12),"")</f>
        <v/>
      </c>
      <c r="L219" s="7">
        <f>IF($G219="正常",MAX($J219-12,0),"")</f>
        <v/>
      </c>
    </row>
    <row r="220">
      <c r="A220" s="3" t="inlineStr">
        <is>
          <t>喻碧</t>
        </is>
      </c>
      <c r="B220" s="3" t="inlineStr">
        <is>
          <t>8/2</t>
        </is>
      </c>
      <c r="C220" s="3" t="inlineStr">
        <is>
          <t>日</t>
        </is>
      </c>
      <c r="D220" s="3" t="inlineStr">
        <is>
          <t>07:57 15:03</t>
        </is>
      </c>
      <c r="E220" s="4" t="n">
        <v>0.33125</v>
      </c>
      <c r="F220" s="4" t="n">
        <v>0.6270833333333333</v>
      </c>
      <c r="G220" s="3">
        <f>IF($E220="","空卡",IF($F220="","单卡","正常"))</f>
        <v/>
      </c>
      <c r="H220" s="5">
        <f>IF($G220="正常",ROUND(($F220-$E220)*1440,0),"")</f>
        <v/>
      </c>
      <c r="I220" s="6">
        <f>IF($G220="正常",$H220/60,"")</f>
        <v/>
      </c>
      <c r="J220" s="7">
        <f>IF($G220="正常",ROUND($H220/30,0)/2,"")</f>
        <v/>
      </c>
      <c r="K220" s="7">
        <f>IF($G220="正常",MIN($J220,12),"")</f>
        <v/>
      </c>
      <c r="L220" s="7">
        <f>IF($G220="正常",MAX($J220-12,0),"")</f>
        <v/>
      </c>
    </row>
    <row r="221">
      <c r="A221" s="3" t="inlineStr">
        <is>
          <t>喻碧</t>
        </is>
      </c>
      <c r="B221" s="3" t="inlineStr">
        <is>
          <t>8/3</t>
        </is>
      </c>
      <c r="C221" s="3" t="inlineStr">
        <is>
          <t>一</t>
        </is>
      </c>
      <c r="D221" s="3" t="inlineStr">
        <is>
          <t>08:25 15:31 19:24</t>
        </is>
      </c>
      <c r="E221" s="4" t="n">
        <v>0.3506944444444444</v>
      </c>
      <c r="F221" s="4" t="n">
        <v>0.8083333333333333</v>
      </c>
      <c r="G221" s="3">
        <f>IF($E221="","空卡",IF($F221="","单卡","正常"))</f>
        <v/>
      </c>
      <c r="H221" s="5">
        <f>IF($G221="正常",ROUND(($F221-$E221)*1440,0),"")</f>
        <v/>
      </c>
      <c r="I221" s="6">
        <f>IF($G221="正常",$H221/60,"")</f>
        <v/>
      </c>
      <c r="J221" s="7">
        <f>IF($G221="正常",ROUND($H221/30,0)/2,"")</f>
        <v/>
      </c>
      <c r="K221" s="7">
        <f>IF($G221="正常",MIN($J221,12),"")</f>
        <v/>
      </c>
      <c r="L221" s="7">
        <f>IF($G221="正常",MAX($J221-12,0),"")</f>
        <v/>
      </c>
    </row>
    <row r="222">
      <c r="A222" s="3" t="inlineStr">
        <is>
          <t>喻碧</t>
        </is>
      </c>
      <c r="B222" s="3" t="inlineStr">
        <is>
          <t>8/4</t>
        </is>
      </c>
      <c r="C222" s="3" t="inlineStr">
        <is>
          <t>二</t>
        </is>
      </c>
      <c r="D222" s="3" t="inlineStr">
        <is>
          <t>07:01 20:02</t>
        </is>
      </c>
      <c r="E222" s="4" t="n">
        <v>0.2923611111111111</v>
      </c>
      <c r="F222" s="4" t="n">
        <v>0.8347222222222223</v>
      </c>
      <c r="G222" s="3">
        <f>IF($E222="","空卡",IF($F222="","单卡","正常"))</f>
        <v/>
      </c>
      <c r="H222" s="5">
        <f>IF($G222="正常",ROUND(($F222-$E222)*1440,0),"")</f>
        <v/>
      </c>
      <c r="I222" s="6">
        <f>IF($G222="正常",$H222/60,"")</f>
        <v/>
      </c>
      <c r="J222" s="7">
        <f>IF($G222="正常",ROUND($H222/30,0)/2,"")</f>
        <v/>
      </c>
      <c r="K222" s="7">
        <f>IF($G222="正常",MIN($J222,12),"")</f>
        <v/>
      </c>
      <c r="L222" s="7">
        <f>IF($G222="正常",MAX($J222-12,0),"")</f>
        <v/>
      </c>
    </row>
    <row r="223">
      <c r="A223" s="3" t="inlineStr">
        <is>
          <t>喻碧</t>
        </is>
      </c>
      <c r="B223" s="3" t="inlineStr">
        <is>
          <t>8/5</t>
        </is>
      </c>
      <c r="C223" s="3" t="inlineStr">
        <is>
          <t>三</t>
        </is>
      </c>
      <c r="D223" s="3" t="inlineStr">
        <is>
          <t>07:36 09:39 19:56</t>
        </is>
      </c>
      <c r="E223" s="4" t="n">
        <v>0.3166666666666667</v>
      </c>
      <c r="F223" s="4" t="n">
        <v>0.8305555555555556</v>
      </c>
      <c r="G223" s="3">
        <f>IF($E223="","空卡",IF($F223="","单卡","正常"))</f>
        <v/>
      </c>
      <c r="H223" s="5">
        <f>IF($G223="正常",ROUND(($F223-$E223)*1440,0),"")</f>
        <v/>
      </c>
      <c r="I223" s="6">
        <f>IF($G223="正常",$H223/60,"")</f>
        <v/>
      </c>
      <c r="J223" s="7">
        <f>IF($G223="正常",ROUND($H223/30,0)/2,"")</f>
        <v/>
      </c>
      <c r="K223" s="7">
        <f>IF($G223="正常",MIN($J223,12),"")</f>
        <v/>
      </c>
      <c r="L223" s="7">
        <f>IF($G223="正常",MAX($J223-12,0),"")</f>
        <v/>
      </c>
    </row>
    <row r="224">
      <c r="A224" s="3" t="inlineStr">
        <is>
          <t>喻碧</t>
        </is>
      </c>
      <c r="B224" s="3" t="inlineStr">
        <is>
          <t>8/6</t>
        </is>
      </c>
      <c r="C224" s="3" t="inlineStr">
        <is>
          <t>四</t>
        </is>
      </c>
      <c r="D224" s="3" t="inlineStr">
        <is>
          <t>08:52 19:01</t>
        </is>
      </c>
      <c r="E224" s="4" t="n">
        <v>0.3694444444444445</v>
      </c>
      <c r="F224" s="4" t="n">
        <v>0.7923611111111111</v>
      </c>
      <c r="G224" s="3">
        <f>IF($E224="","空卡",IF($F224="","单卡","正常"))</f>
        <v/>
      </c>
      <c r="H224" s="5">
        <f>IF($G224="正常",ROUND(($F224-$E224)*1440,0),"")</f>
        <v/>
      </c>
      <c r="I224" s="6">
        <f>IF($G224="正常",$H224/60,"")</f>
        <v/>
      </c>
      <c r="J224" s="7">
        <f>IF($G224="正常",ROUND($H224/30,0)/2,"")</f>
        <v/>
      </c>
      <c r="K224" s="7">
        <f>IF($G224="正常",MIN($J224,12),"")</f>
        <v/>
      </c>
      <c r="L224" s="7">
        <f>IF($G224="正常",MAX($J224-12,0),"")</f>
        <v/>
      </c>
    </row>
    <row r="225">
      <c r="A225" s="3" t="inlineStr">
        <is>
          <t>喻碧</t>
        </is>
      </c>
      <c r="B225" s="3" t="inlineStr">
        <is>
          <t>8/7</t>
        </is>
      </c>
      <c r="C225" s="3" t="inlineStr">
        <is>
          <t>五</t>
        </is>
      </c>
      <c r="D225" s="3" t="inlineStr">
        <is>
          <t>07:57 20:02</t>
        </is>
      </c>
      <c r="E225" s="4" t="n">
        <v>0.33125</v>
      </c>
      <c r="F225" s="4" t="n">
        <v>0.8347222222222223</v>
      </c>
      <c r="G225" s="3">
        <f>IF($E225="","空卡",IF($F225="","单卡","正常"))</f>
        <v/>
      </c>
      <c r="H225" s="5">
        <f>IF($G225="正常",ROUND(($F225-$E225)*1440,0),"")</f>
        <v/>
      </c>
      <c r="I225" s="6">
        <f>IF($G225="正常",$H225/60,"")</f>
        <v/>
      </c>
      <c r="J225" s="7">
        <f>IF($G225="正常",ROUND($H225/30,0)/2,"")</f>
        <v/>
      </c>
      <c r="K225" s="7">
        <f>IF($G225="正常",MIN($J225,12),"")</f>
        <v/>
      </c>
      <c r="L225" s="7">
        <f>IF($G225="正常",MAX($J225-12,0),"")</f>
        <v/>
      </c>
    </row>
    <row r="226">
      <c r="A226" s="3" t="inlineStr">
        <is>
          <t>喻碧</t>
        </is>
      </c>
      <c r="B226" s="3" t="inlineStr">
        <is>
          <t>8/8</t>
        </is>
      </c>
      <c r="C226" s="3" t="inlineStr">
        <is>
          <t>六</t>
        </is>
      </c>
      <c r="D226" s="3" t="inlineStr">
        <is>
          <t>08:18 19:39</t>
        </is>
      </c>
      <c r="E226" s="4" t="n">
        <v>0.3458333333333333</v>
      </c>
      <c r="F226" s="4" t="n">
        <v>0.81875</v>
      </c>
      <c r="G226" s="3">
        <f>IF($E226="","空卡",IF($F226="","单卡","正常"))</f>
        <v/>
      </c>
      <c r="H226" s="5">
        <f>IF($G226="正常",ROUND(($F226-$E226)*1440,0),"")</f>
        <v/>
      </c>
      <c r="I226" s="6">
        <f>IF($G226="正常",$H226/60,"")</f>
        <v/>
      </c>
      <c r="J226" s="7">
        <f>IF($G226="正常",ROUND($H226/30,0)/2,"")</f>
        <v/>
      </c>
      <c r="K226" s="7">
        <f>IF($G226="正常",MIN($J226,12),"")</f>
        <v/>
      </c>
      <c r="L226" s="7">
        <f>IF($G226="正常",MAX($J226-12,0),"")</f>
        <v/>
      </c>
    </row>
    <row r="227">
      <c r="A227" s="8" t="inlineStr">
        <is>
          <t>喻碧</t>
        </is>
      </c>
      <c r="B227" s="8" t="inlineStr">
        <is>
          <t>8/9</t>
        </is>
      </c>
      <c r="C227" s="8" t="inlineStr">
        <is>
          <t>日</t>
        </is>
      </c>
      <c r="D227" s="8" t="inlineStr"/>
      <c r="E227" s="9" t="n"/>
      <c r="F227" s="9" t="n"/>
      <c r="G227" s="10">
        <f>IF($E227="","空卡",IF($F227="","单卡","正常"))</f>
        <v/>
      </c>
      <c r="H227" s="11">
        <f>IF($G227="正常",ROUND(($F227-$E227)*1440,0),"")</f>
        <v/>
      </c>
      <c r="I227" s="12">
        <f>IF($G227="正常",$H227/60,"")</f>
        <v/>
      </c>
      <c r="J227" s="13">
        <f>IF($G227="正常",ROUND($H227/30,0)/2,"")</f>
        <v/>
      </c>
      <c r="K227" s="13">
        <f>IF($G227="正常",MIN($J227,12),"")</f>
        <v/>
      </c>
      <c r="L227" s="13">
        <f>IF($G227="正常",MAX($J227-12,0),"")</f>
        <v/>
      </c>
    </row>
    <row r="228">
      <c r="A228" s="3" t="inlineStr">
        <is>
          <t>喻碧</t>
        </is>
      </c>
      <c r="B228" s="3" t="inlineStr">
        <is>
          <t>8/10</t>
        </is>
      </c>
      <c r="C228" s="3" t="inlineStr">
        <is>
          <t>一</t>
        </is>
      </c>
      <c r="D228" s="3" t="inlineStr">
        <is>
          <t>08:22 19:54</t>
        </is>
      </c>
      <c r="E228" s="4" t="n">
        <v>0.3486111111111111</v>
      </c>
      <c r="F228" s="4" t="n">
        <v>0.8291666666666667</v>
      </c>
      <c r="G228" s="3">
        <f>IF($E228="","空卡",IF($F228="","单卡","正常"))</f>
        <v/>
      </c>
      <c r="H228" s="5">
        <f>IF($G228="正常",ROUND(($F228-$E228)*1440,0),"")</f>
        <v/>
      </c>
      <c r="I228" s="6">
        <f>IF($G228="正常",$H228/60,"")</f>
        <v/>
      </c>
      <c r="J228" s="7">
        <f>IF($G228="正常",ROUND($H228/30,0)/2,"")</f>
        <v/>
      </c>
      <c r="K228" s="7">
        <f>IF($G228="正常",MIN($J228,12),"")</f>
        <v/>
      </c>
      <c r="L228" s="7">
        <f>IF($G228="正常",MAX($J228-12,0),"")</f>
        <v/>
      </c>
    </row>
    <row r="229">
      <c r="A229" s="3" t="inlineStr">
        <is>
          <t>喻碧</t>
        </is>
      </c>
      <c r="B229" s="3" t="inlineStr">
        <is>
          <t>8/11</t>
        </is>
      </c>
      <c r="C229" s="3" t="inlineStr">
        <is>
          <t>二</t>
        </is>
      </c>
      <c r="D229" s="3" t="inlineStr">
        <is>
          <t>08:24 18:07</t>
        </is>
      </c>
      <c r="E229" s="4" t="n">
        <v>0.35</v>
      </c>
      <c r="F229" s="4" t="n">
        <v>0.7548611111111111</v>
      </c>
      <c r="G229" s="3">
        <f>IF($E229="","空卡",IF($F229="","单卡","正常"))</f>
        <v/>
      </c>
      <c r="H229" s="5">
        <f>IF($G229="正常",ROUND(($F229-$E229)*1440,0),"")</f>
        <v/>
      </c>
      <c r="I229" s="6">
        <f>IF($G229="正常",$H229/60,"")</f>
        <v/>
      </c>
      <c r="J229" s="7">
        <f>IF($G229="正常",ROUND($H229/30,0)/2,"")</f>
        <v/>
      </c>
      <c r="K229" s="7">
        <f>IF($G229="正常",MIN($J229,12),"")</f>
        <v/>
      </c>
      <c r="L229" s="7">
        <f>IF($G229="正常",MAX($J229-12,0),"")</f>
        <v/>
      </c>
    </row>
    <row r="230">
      <c r="A230" s="3" t="inlineStr">
        <is>
          <t>喻碧</t>
        </is>
      </c>
      <c r="B230" s="3" t="inlineStr">
        <is>
          <t>8/12</t>
        </is>
      </c>
      <c r="C230" s="3" t="inlineStr">
        <is>
          <t>三</t>
        </is>
      </c>
      <c r="D230" s="3" t="inlineStr">
        <is>
          <t>08:21 18:34</t>
        </is>
      </c>
      <c r="E230" s="4" t="n">
        <v>0.3479166666666667</v>
      </c>
      <c r="F230" s="4" t="n">
        <v>0.7736111111111111</v>
      </c>
      <c r="G230" s="3">
        <f>IF($E230="","空卡",IF($F230="","单卡","正常"))</f>
        <v/>
      </c>
      <c r="H230" s="5">
        <f>IF($G230="正常",ROUND(($F230-$E230)*1440,0),"")</f>
        <v/>
      </c>
      <c r="I230" s="6">
        <f>IF($G230="正常",$H230/60,"")</f>
        <v/>
      </c>
      <c r="J230" s="7">
        <f>IF($G230="正常",ROUND($H230/30,0)/2,"")</f>
        <v/>
      </c>
      <c r="K230" s="7">
        <f>IF($G230="正常",MIN($J230,12),"")</f>
        <v/>
      </c>
      <c r="L230" s="7">
        <f>IF($G230="正常",MAX($J230-12,0),"")</f>
        <v/>
      </c>
    </row>
    <row r="231">
      <c r="A231" s="3" t="inlineStr">
        <is>
          <t>喻碧</t>
        </is>
      </c>
      <c r="B231" s="3" t="inlineStr">
        <is>
          <t>8/13</t>
        </is>
      </c>
      <c r="C231" s="3" t="inlineStr">
        <is>
          <t>四</t>
        </is>
      </c>
      <c r="D231" s="3" t="inlineStr">
        <is>
          <t>09:56 19:01</t>
        </is>
      </c>
      <c r="E231" s="4" t="n">
        <v>0.4138888888888889</v>
      </c>
      <c r="F231" s="4" t="n">
        <v>0.7923611111111111</v>
      </c>
      <c r="G231" s="3">
        <f>IF($E231="","空卡",IF($F231="","单卡","正常"))</f>
        <v/>
      </c>
      <c r="H231" s="5">
        <f>IF($G231="正常",ROUND(($F231-$E231)*1440,0),"")</f>
        <v/>
      </c>
      <c r="I231" s="6">
        <f>IF($G231="正常",$H231/60,"")</f>
        <v/>
      </c>
      <c r="J231" s="7">
        <f>IF($G231="正常",ROUND($H231/30,0)/2,"")</f>
        <v/>
      </c>
      <c r="K231" s="7">
        <f>IF($G231="正常",MIN($J231,12),"")</f>
        <v/>
      </c>
      <c r="L231" s="7">
        <f>IF($G231="正常",MAX($J231-12,0),"")</f>
        <v/>
      </c>
    </row>
    <row r="232">
      <c r="A232" s="3" t="inlineStr">
        <is>
          <t>喻碧</t>
        </is>
      </c>
      <c r="B232" s="3" t="inlineStr">
        <is>
          <t>8/14</t>
        </is>
      </c>
      <c r="C232" s="3" t="inlineStr">
        <is>
          <t>五</t>
        </is>
      </c>
      <c r="D232" s="3" t="inlineStr">
        <is>
          <t>06:53 21:03</t>
        </is>
      </c>
      <c r="E232" s="4" t="n">
        <v>0.2868055555555555</v>
      </c>
      <c r="F232" s="4" t="n">
        <v>0.8770833333333333</v>
      </c>
      <c r="G232" s="3">
        <f>IF($E232="","空卡",IF($F232="","单卡","正常"))</f>
        <v/>
      </c>
      <c r="H232" s="5">
        <f>IF($G232="正常",ROUND(($F232-$E232)*1440,0),"")</f>
        <v/>
      </c>
      <c r="I232" s="6">
        <f>IF($G232="正常",$H232/60,"")</f>
        <v/>
      </c>
      <c r="J232" s="7">
        <f>IF($G232="正常",ROUND($H232/30,0)/2,"")</f>
        <v/>
      </c>
      <c r="K232" s="7">
        <f>IF($G232="正常",MIN($J232,12),"")</f>
        <v/>
      </c>
      <c r="L232" s="7">
        <f>IF($G232="正常",MAX($J232-12,0),"")</f>
        <v/>
      </c>
    </row>
    <row r="233">
      <c r="A233" s="3" t="inlineStr">
        <is>
          <t>喻碧</t>
        </is>
      </c>
      <c r="B233" s="3" t="inlineStr">
        <is>
          <t>8/15</t>
        </is>
      </c>
      <c r="C233" s="3" t="inlineStr">
        <is>
          <t>六</t>
        </is>
      </c>
      <c r="D233" s="3" t="inlineStr">
        <is>
          <t>07:00 19:00</t>
        </is>
      </c>
      <c r="E233" s="4" t="n">
        <v>0.2916666666666667</v>
      </c>
      <c r="F233" s="4" t="n">
        <v>0.7916666666666666</v>
      </c>
      <c r="G233" s="3">
        <f>IF($E233="","空卡",IF($F233="","单卡","正常"))</f>
        <v/>
      </c>
      <c r="H233" s="5">
        <f>IF($G233="正常",ROUND(($F233-$E233)*1440,0),"")</f>
        <v/>
      </c>
      <c r="I233" s="6">
        <f>IF($G233="正常",$H233/60,"")</f>
        <v/>
      </c>
      <c r="J233" s="7">
        <f>IF($G233="正常",ROUND($H233/30,0)/2,"")</f>
        <v/>
      </c>
      <c r="K233" s="7">
        <f>IF($G233="正常",MIN($J233,12),"")</f>
        <v/>
      </c>
      <c r="L233" s="7">
        <f>IF($G233="正常",MAX($J233-12,0),"")</f>
        <v/>
      </c>
    </row>
    <row r="234">
      <c r="A234" s="8" t="inlineStr">
        <is>
          <t>喻碧</t>
        </is>
      </c>
      <c r="B234" s="8" t="inlineStr">
        <is>
          <t>8/16</t>
        </is>
      </c>
      <c r="C234" s="8" t="inlineStr">
        <is>
          <t>日</t>
        </is>
      </c>
      <c r="D234" s="8" t="inlineStr"/>
      <c r="E234" s="9" t="n"/>
      <c r="F234" s="9" t="n"/>
      <c r="G234" s="10">
        <f>IF($E234="","空卡",IF($F234="","单卡","正常"))</f>
        <v/>
      </c>
      <c r="H234" s="11">
        <f>IF($G234="正常",ROUND(($F234-$E234)*1440,0),"")</f>
        <v/>
      </c>
      <c r="I234" s="12">
        <f>IF($G234="正常",$H234/60,"")</f>
        <v/>
      </c>
      <c r="J234" s="13">
        <f>IF($G234="正常",ROUND($H234/30,0)/2,"")</f>
        <v/>
      </c>
      <c r="K234" s="13">
        <f>IF($G234="正常",MIN($J234,12),"")</f>
        <v/>
      </c>
      <c r="L234" s="13">
        <f>IF($G234="正常",MAX($J234-12,0),"")</f>
        <v/>
      </c>
    </row>
    <row r="235">
      <c r="A235" s="3" t="inlineStr">
        <is>
          <t>喻碧</t>
        </is>
      </c>
      <c r="B235" s="3" t="inlineStr">
        <is>
          <t>8/17</t>
        </is>
      </c>
      <c r="C235" s="3" t="inlineStr">
        <is>
          <t>一</t>
        </is>
      </c>
      <c r="D235" s="3" t="inlineStr">
        <is>
          <t>07:56 19:56</t>
        </is>
      </c>
      <c r="E235" s="4" t="n">
        <v>0.3305555555555555</v>
      </c>
      <c r="F235" s="4" t="n">
        <v>0.8305555555555556</v>
      </c>
      <c r="G235" s="3">
        <f>IF($E235="","空卡",IF($F235="","单卡","正常"))</f>
        <v/>
      </c>
      <c r="H235" s="5">
        <f>IF($G235="正常",ROUND(($F235-$E235)*1440,0),"")</f>
        <v/>
      </c>
      <c r="I235" s="6">
        <f>IF($G235="正常",$H235/60,"")</f>
        <v/>
      </c>
      <c r="J235" s="7">
        <f>IF($G235="正常",ROUND($H235/30,0)/2,"")</f>
        <v/>
      </c>
      <c r="K235" s="7">
        <f>IF($G235="正常",MIN($J235,12),"")</f>
        <v/>
      </c>
      <c r="L235" s="7">
        <f>IF($G235="正常",MAX($J235-12,0),"")</f>
        <v/>
      </c>
    </row>
    <row r="236">
      <c r="A236" s="3" t="inlineStr">
        <is>
          <t>喻碧</t>
        </is>
      </c>
      <c r="B236" s="3" t="inlineStr">
        <is>
          <t>8/18</t>
        </is>
      </c>
      <c r="C236" s="3" t="inlineStr">
        <is>
          <t>二</t>
        </is>
      </c>
      <c r="D236" s="3" t="inlineStr">
        <is>
          <t>07:52 18:58</t>
        </is>
      </c>
      <c r="E236" s="4" t="n">
        <v>0.3277777777777778</v>
      </c>
      <c r="F236" s="4" t="n">
        <v>0.7902777777777777</v>
      </c>
      <c r="G236" s="3">
        <f>IF($E236="","空卡",IF($F236="","单卡","正常"))</f>
        <v/>
      </c>
      <c r="H236" s="5">
        <f>IF($G236="正常",ROUND(($F236-$E236)*1440,0),"")</f>
        <v/>
      </c>
      <c r="I236" s="6">
        <f>IF($G236="正常",$H236/60,"")</f>
        <v/>
      </c>
      <c r="J236" s="7">
        <f>IF($G236="正常",ROUND($H236/30,0)/2,"")</f>
        <v/>
      </c>
      <c r="K236" s="7">
        <f>IF($G236="正常",MIN($J236,12),"")</f>
        <v/>
      </c>
      <c r="L236" s="7">
        <f>IF($G236="正常",MAX($J236-12,0),"")</f>
        <v/>
      </c>
    </row>
    <row r="237">
      <c r="A237" s="3" t="inlineStr">
        <is>
          <t>喻碧</t>
        </is>
      </c>
      <c r="B237" s="3" t="inlineStr">
        <is>
          <t>8/19</t>
        </is>
      </c>
      <c r="C237" s="3" t="inlineStr">
        <is>
          <t>三</t>
        </is>
      </c>
      <c r="D237" s="3" t="inlineStr">
        <is>
          <t>08:58 17:29</t>
        </is>
      </c>
      <c r="E237" s="4" t="n">
        <v>0.3736111111111111</v>
      </c>
      <c r="F237" s="4" t="n">
        <v>0.7284722222222222</v>
      </c>
      <c r="G237" s="3">
        <f>IF($E237="","空卡",IF($F237="","单卡","正常"))</f>
        <v/>
      </c>
      <c r="H237" s="5">
        <f>IF($G237="正常",ROUND(($F237-$E237)*1440,0),"")</f>
        <v/>
      </c>
      <c r="I237" s="6">
        <f>IF($G237="正常",$H237/60,"")</f>
        <v/>
      </c>
      <c r="J237" s="7">
        <f>IF($G237="正常",ROUND($H237/30,0)/2,"")</f>
        <v/>
      </c>
      <c r="K237" s="7">
        <f>IF($G237="正常",MIN($J237,12),"")</f>
        <v/>
      </c>
      <c r="L237" s="7">
        <f>IF($G237="正常",MAX($J237-12,0),"")</f>
        <v/>
      </c>
    </row>
    <row r="238">
      <c r="A238" s="3" t="inlineStr">
        <is>
          <t>喻碧</t>
        </is>
      </c>
      <c r="B238" s="3" t="inlineStr">
        <is>
          <t>8/20</t>
        </is>
      </c>
      <c r="C238" s="3" t="inlineStr">
        <is>
          <t>四</t>
        </is>
      </c>
      <c r="D238" s="3" t="inlineStr">
        <is>
          <t>08:29 19:56</t>
        </is>
      </c>
      <c r="E238" s="4" t="n">
        <v>0.3534722222222222</v>
      </c>
      <c r="F238" s="4" t="n">
        <v>0.8305555555555556</v>
      </c>
      <c r="G238" s="3">
        <f>IF($E238="","空卡",IF($F238="","单卡","正常"))</f>
        <v/>
      </c>
      <c r="H238" s="5">
        <f>IF($G238="正常",ROUND(($F238-$E238)*1440,0),"")</f>
        <v/>
      </c>
      <c r="I238" s="6">
        <f>IF($G238="正常",$H238/60,"")</f>
        <v/>
      </c>
      <c r="J238" s="7">
        <f>IF($G238="正常",ROUND($H238/30,0)/2,"")</f>
        <v/>
      </c>
      <c r="K238" s="7">
        <f>IF($G238="正常",MIN($J238,12),"")</f>
        <v/>
      </c>
      <c r="L238" s="7">
        <f>IF($G238="正常",MAX($J238-12,0),"")</f>
        <v/>
      </c>
    </row>
    <row r="239">
      <c r="A239" s="3" t="inlineStr">
        <is>
          <t>喻碧</t>
        </is>
      </c>
      <c r="B239" s="3" t="inlineStr">
        <is>
          <t>8/21</t>
        </is>
      </c>
      <c r="C239" s="3" t="inlineStr">
        <is>
          <t>五</t>
        </is>
      </c>
      <c r="D239" s="3" t="inlineStr">
        <is>
          <t>06:57 19:01</t>
        </is>
      </c>
      <c r="E239" s="4" t="n">
        <v>0.2895833333333334</v>
      </c>
      <c r="F239" s="4" t="n">
        <v>0.7923611111111111</v>
      </c>
      <c r="G239" s="3">
        <f>IF($E239="","空卡",IF($F239="","单卡","正常"))</f>
        <v/>
      </c>
      <c r="H239" s="5">
        <f>IF($G239="正常",ROUND(($F239-$E239)*1440,0),"")</f>
        <v/>
      </c>
      <c r="I239" s="6">
        <f>IF($G239="正常",$H239/60,"")</f>
        <v/>
      </c>
      <c r="J239" s="7">
        <f>IF($G239="正常",ROUND($H239/30,0)/2,"")</f>
        <v/>
      </c>
      <c r="K239" s="7">
        <f>IF($G239="正常",MIN($J239,12),"")</f>
        <v/>
      </c>
      <c r="L239" s="7">
        <f>IF($G239="正常",MAX($J239-12,0),"")</f>
        <v/>
      </c>
    </row>
    <row r="240">
      <c r="A240" s="3" t="inlineStr">
        <is>
          <t>喻碧</t>
        </is>
      </c>
      <c r="B240" s="3" t="inlineStr">
        <is>
          <t>8/22</t>
        </is>
      </c>
      <c r="C240" s="3" t="inlineStr">
        <is>
          <t>六</t>
        </is>
      </c>
      <c r="D240" s="3" t="inlineStr">
        <is>
          <t>06:54 18:28</t>
        </is>
      </c>
      <c r="E240" s="4" t="n">
        <v>0.2875</v>
      </c>
      <c r="F240" s="4" t="n">
        <v>0.7694444444444445</v>
      </c>
      <c r="G240" s="3">
        <f>IF($E240="","空卡",IF($F240="","单卡","正常"))</f>
        <v/>
      </c>
      <c r="H240" s="5">
        <f>IF($G240="正常",ROUND(($F240-$E240)*1440,0),"")</f>
        <v/>
      </c>
      <c r="I240" s="6">
        <f>IF($G240="正常",$H240/60,"")</f>
        <v/>
      </c>
      <c r="J240" s="7">
        <f>IF($G240="正常",ROUND($H240/30,0)/2,"")</f>
        <v/>
      </c>
      <c r="K240" s="7">
        <f>IF($G240="正常",MIN($J240,12),"")</f>
        <v/>
      </c>
      <c r="L240" s="7">
        <f>IF($G240="正常",MAX($J240-12,0),"")</f>
        <v/>
      </c>
    </row>
    <row r="241">
      <c r="A241" s="3" t="inlineStr">
        <is>
          <t>喻碧</t>
        </is>
      </c>
      <c r="B241" s="3" t="inlineStr">
        <is>
          <t>8/23</t>
        </is>
      </c>
      <c r="C241" s="3" t="inlineStr">
        <is>
          <t>日</t>
        </is>
      </c>
      <c r="D241" s="3" t="inlineStr">
        <is>
          <t>07:03 17:59</t>
        </is>
      </c>
      <c r="E241" s="4" t="n">
        <v>0.29375</v>
      </c>
      <c r="F241" s="4" t="n">
        <v>0.7493055555555556</v>
      </c>
      <c r="G241" s="3">
        <f>IF($E241="","空卡",IF($F241="","单卡","正常"))</f>
        <v/>
      </c>
      <c r="H241" s="5">
        <f>IF($G241="正常",ROUND(($F241-$E241)*1440,0),"")</f>
        <v/>
      </c>
      <c r="I241" s="6">
        <f>IF($G241="正常",$H241/60,"")</f>
        <v/>
      </c>
      <c r="J241" s="7">
        <f>IF($G241="正常",ROUND($H241/30,0)/2,"")</f>
        <v/>
      </c>
      <c r="K241" s="7">
        <f>IF($G241="正常",MIN($J241,12),"")</f>
        <v/>
      </c>
      <c r="L241" s="7">
        <f>IF($G241="正常",MAX($J241-12,0),"")</f>
        <v/>
      </c>
    </row>
    <row r="242">
      <c r="A242" s="3" t="inlineStr">
        <is>
          <t>喻碧</t>
        </is>
      </c>
      <c r="B242" s="3" t="inlineStr">
        <is>
          <t>8/24</t>
        </is>
      </c>
      <c r="C242" s="3" t="inlineStr">
        <is>
          <t>一</t>
        </is>
      </c>
      <c r="D242" s="3" t="inlineStr">
        <is>
          <t>06:55 16:38</t>
        </is>
      </c>
      <c r="E242" s="4" t="n">
        <v>0.2881944444444444</v>
      </c>
      <c r="F242" s="4" t="n">
        <v>0.6930555555555555</v>
      </c>
      <c r="G242" s="3">
        <f>IF($E242="","空卡",IF($F242="","单卡","正常"))</f>
        <v/>
      </c>
      <c r="H242" s="5">
        <f>IF($G242="正常",ROUND(($F242-$E242)*1440,0),"")</f>
        <v/>
      </c>
      <c r="I242" s="6">
        <f>IF($G242="正常",$H242/60,"")</f>
        <v/>
      </c>
      <c r="J242" s="7">
        <f>IF($G242="正常",ROUND($H242/30,0)/2,"")</f>
        <v/>
      </c>
      <c r="K242" s="7">
        <f>IF($G242="正常",MIN($J242,12),"")</f>
        <v/>
      </c>
      <c r="L242" s="7">
        <f>IF($G242="正常",MAX($J242-12,0),"")</f>
        <v/>
      </c>
    </row>
    <row r="243">
      <c r="A243" s="3" t="inlineStr">
        <is>
          <t>喻碧</t>
        </is>
      </c>
      <c r="B243" s="3" t="inlineStr">
        <is>
          <t>8/25</t>
        </is>
      </c>
      <c r="C243" s="3" t="inlineStr">
        <is>
          <t>二</t>
        </is>
      </c>
      <c r="D243" s="3" t="inlineStr">
        <is>
          <t>07:58 18:37</t>
        </is>
      </c>
      <c r="E243" s="4" t="n">
        <v>0.3319444444444444</v>
      </c>
      <c r="F243" s="4" t="n">
        <v>0.7756944444444445</v>
      </c>
      <c r="G243" s="3">
        <f>IF($E243="","空卡",IF($F243="","单卡","正常"))</f>
        <v/>
      </c>
      <c r="H243" s="5">
        <f>IF($G243="正常",ROUND(($F243-$E243)*1440,0),"")</f>
        <v/>
      </c>
      <c r="I243" s="6">
        <f>IF($G243="正常",$H243/60,"")</f>
        <v/>
      </c>
      <c r="J243" s="7">
        <f>IF($G243="正常",ROUND($H243/30,0)/2,"")</f>
        <v/>
      </c>
      <c r="K243" s="7">
        <f>IF($G243="正常",MIN($J243,12),"")</f>
        <v/>
      </c>
      <c r="L243" s="7">
        <f>IF($G243="正常",MAX($J243-12,0),"")</f>
        <v/>
      </c>
    </row>
    <row r="244">
      <c r="A244" s="3" t="inlineStr">
        <is>
          <t>喻碧</t>
        </is>
      </c>
      <c r="B244" s="3" t="inlineStr">
        <is>
          <t>8/26</t>
        </is>
      </c>
      <c r="C244" s="3" t="inlineStr">
        <is>
          <t>三</t>
        </is>
      </c>
      <c r="D244" s="3" t="inlineStr">
        <is>
          <t>07:51 18:55</t>
        </is>
      </c>
      <c r="E244" s="4" t="n">
        <v>0.3270833333333333</v>
      </c>
      <c r="F244" s="4" t="n">
        <v>0.7881944444444444</v>
      </c>
      <c r="G244" s="3">
        <f>IF($E244="","空卡",IF($F244="","单卡","正常"))</f>
        <v/>
      </c>
      <c r="H244" s="5">
        <f>IF($G244="正常",ROUND(($F244-$E244)*1440,0),"")</f>
        <v/>
      </c>
      <c r="I244" s="6">
        <f>IF($G244="正常",$H244/60,"")</f>
        <v/>
      </c>
      <c r="J244" s="7">
        <f>IF($G244="正常",ROUND($H244/30,0)/2,"")</f>
        <v/>
      </c>
      <c r="K244" s="7">
        <f>IF($G244="正常",MIN($J244,12),"")</f>
        <v/>
      </c>
      <c r="L244" s="7">
        <f>IF($G244="正常",MAX($J244-12,0),"")</f>
        <v/>
      </c>
    </row>
    <row r="245">
      <c r="A245" s="8" t="inlineStr">
        <is>
          <t>喻碧</t>
        </is>
      </c>
      <c r="B245" s="8" t="inlineStr">
        <is>
          <t>8/27</t>
        </is>
      </c>
      <c r="C245" s="8" t="inlineStr">
        <is>
          <t>四</t>
        </is>
      </c>
      <c r="D245" s="8" t="inlineStr">
        <is>
          <t>17:29</t>
        </is>
      </c>
      <c r="E245" s="9" t="n">
        <v>0.7284722222222222</v>
      </c>
      <c r="F245" s="9" t="n"/>
      <c r="G245" s="10">
        <f>IF($E245="","空卡",IF($F245="","单卡","正常"))</f>
        <v/>
      </c>
      <c r="H245" s="11">
        <f>IF($G245="正常",ROUND(($F245-$E245)*1440,0),"")</f>
        <v/>
      </c>
      <c r="I245" s="12">
        <f>IF($G245="正常",$H245/60,"")</f>
        <v/>
      </c>
      <c r="J245" s="13">
        <f>IF($G245="正常",ROUND($H245/30,0)/2,"")</f>
        <v/>
      </c>
      <c r="K245" s="13">
        <f>IF($G245="正常",MIN($J245,12),"")</f>
        <v/>
      </c>
      <c r="L245" s="13">
        <f>IF($G245="正常",MAX($J245-12,0),"")</f>
        <v/>
      </c>
    </row>
    <row r="246">
      <c r="A246" s="8" t="inlineStr">
        <is>
          <t>喻碧</t>
        </is>
      </c>
      <c r="B246" s="8" t="inlineStr">
        <is>
          <t>8/28</t>
        </is>
      </c>
      <c r="C246" s="8" t="inlineStr">
        <is>
          <t>五</t>
        </is>
      </c>
      <c r="D246" s="8" t="inlineStr"/>
      <c r="E246" s="9" t="n"/>
      <c r="F246" s="9" t="n"/>
      <c r="G246" s="10">
        <f>IF($E246="","空卡",IF($F246="","单卡","正常"))</f>
        <v/>
      </c>
      <c r="H246" s="11">
        <f>IF($G246="正常",ROUND(($F246-$E246)*1440,0),"")</f>
        <v/>
      </c>
      <c r="I246" s="12">
        <f>IF($G246="正常",$H246/60,"")</f>
        <v/>
      </c>
      <c r="J246" s="13">
        <f>IF($G246="正常",ROUND($H246/30,0)/2,"")</f>
        <v/>
      </c>
      <c r="K246" s="13">
        <f>IF($G246="正常",MIN($J246,12),"")</f>
        <v/>
      </c>
      <c r="L246" s="13">
        <f>IF($G246="正常",MAX($J246-12,0),"")</f>
        <v/>
      </c>
    </row>
    <row r="247">
      <c r="A247" s="8" t="inlineStr">
        <is>
          <t>喻碧</t>
        </is>
      </c>
      <c r="B247" s="8" t="inlineStr">
        <is>
          <t>8/29</t>
        </is>
      </c>
      <c r="C247" s="8" t="inlineStr">
        <is>
          <t>六</t>
        </is>
      </c>
      <c r="D247" s="8" t="inlineStr"/>
      <c r="E247" s="9" t="n"/>
      <c r="F247" s="9" t="n"/>
      <c r="G247" s="10">
        <f>IF($E247="","空卡",IF($F247="","单卡","正常"))</f>
        <v/>
      </c>
      <c r="H247" s="11">
        <f>IF($G247="正常",ROUND(($F247-$E247)*1440,0),"")</f>
        <v/>
      </c>
      <c r="I247" s="12">
        <f>IF($G247="正常",$H247/60,"")</f>
        <v/>
      </c>
      <c r="J247" s="13">
        <f>IF($G247="正常",ROUND($H247/30,0)/2,"")</f>
        <v/>
      </c>
      <c r="K247" s="13">
        <f>IF($G247="正常",MIN($J247,12),"")</f>
        <v/>
      </c>
      <c r="L247" s="13">
        <f>IF($G247="正常",MAX($J247-12,0),"")</f>
        <v/>
      </c>
    </row>
    <row r="248">
      <c r="A248" s="3" t="inlineStr">
        <is>
          <t>喻碧</t>
        </is>
      </c>
      <c r="B248" s="3" t="inlineStr">
        <is>
          <t>8/30</t>
        </is>
      </c>
      <c r="C248" s="3" t="inlineStr">
        <is>
          <t>日</t>
        </is>
      </c>
      <c r="D248" s="3" t="inlineStr">
        <is>
          <t>07:50 18:44</t>
        </is>
      </c>
      <c r="E248" s="4" t="n">
        <v>0.3263888888888889</v>
      </c>
      <c r="F248" s="4" t="n">
        <v>0.7805555555555556</v>
      </c>
      <c r="G248" s="3">
        <f>IF($E248="","空卡",IF($F248="","单卡","正常"))</f>
        <v/>
      </c>
      <c r="H248" s="5">
        <f>IF($G248="正常",ROUND(($F248-$E248)*1440,0),"")</f>
        <v/>
      </c>
      <c r="I248" s="6">
        <f>IF($G248="正常",$H248/60,"")</f>
        <v/>
      </c>
      <c r="J248" s="7">
        <f>IF($G248="正常",ROUND($H248/30,0)/2,"")</f>
        <v/>
      </c>
      <c r="K248" s="7">
        <f>IF($G248="正常",MIN($J248,12),"")</f>
        <v/>
      </c>
      <c r="L248" s="7">
        <f>IF($G248="正常",MAX($J248-12,0),"")</f>
        <v/>
      </c>
    </row>
    <row r="249">
      <c r="A249" s="8" t="inlineStr">
        <is>
          <t>喻碧</t>
        </is>
      </c>
      <c r="B249" s="8" t="inlineStr">
        <is>
          <t>8/31</t>
        </is>
      </c>
      <c r="C249" s="8" t="inlineStr">
        <is>
          <t>一</t>
        </is>
      </c>
      <c r="D249" s="8" t="inlineStr"/>
      <c r="E249" s="9" t="n"/>
      <c r="F249" s="9" t="n"/>
      <c r="G249" s="10">
        <f>IF($E249="","空卡",IF($F249="","单卡","正常"))</f>
        <v/>
      </c>
      <c r="H249" s="11">
        <f>IF($G249="正常",ROUND(($F249-$E249)*1440,0),"")</f>
        <v/>
      </c>
      <c r="I249" s="12">
        <f>IF($G249="正常",$H249/60,"")</f>
        <v/>
      </c>
      <c r="J249" s="13">
        <f>IF($G249="正常",ROUND($H249/30,0)/2,"")</f>
        <v/>
      </c>
      <c r="K249" s="13">
        <f>IF($G249="正常",MIN($J249,12),"")</f>
        <v/>
      </c>
      <c r="L249" s="13">
        <f>IF($G249="正常",MAX($J249-12,0),"")</f>
        <v/>
      </c>
    </row>
    <row r="250">
      <c r="A250" s="3" t="inlineStr">
        <is>
          <t>董世会</t>
        </is>
      </c>
      <c r="B250" s="3" t="inlineStr">
        <is>
          <t>8/1</t>
        </is>
      </c>
      <c r="C250" s="3" t="inlineStr">
        <is>
          <t>六</t>
        </is>
      </c>
      <c r="D250" s="3" t="inlineStr">
        <is>
          <t>07:54 17:01</t>
        </is>
      </c>
      <c r="E250" s="4" t="n">
        <v>0.3291666666666667</v>
      </c>
      <c r="F250" s="4" t="n">
        <v>0.7090277777777778</v>
      </c>
      <c r="G250" s="3">
        <f>IF($E250="","空卡",IF($F250="","单卡","正常"))</f>
        <v/>
      </c>
      <c r="H250" s="5">
        <f>IF($G250="正常",ROUND(($F250-$E250)*1440,0),"")</f>
        <v/>
      </c>
      <c r="I250" s="6">
        <f>IF($G250="正常",$H250/60,"")</f>
        <v/>
      </c>
      <c r="J250" s="7">
        <f>IF($G250="正常",ROUND($H250/30,0)/2,"")</f>
        <v/>
      </c>
      <c r="K250" s="7">
        <f>IF($G250="正常",MIN($J250,12),"")</f>
        <v/>
      </c>
      <c r="L250" s="7">
        <f>IF($G250="正常",MAX($J250-12,0),"")</f>
        <v/>
      </c>
    </row>
    <row r="251">
      <c r="A251" s="3" t="inlineStr">
        <is>
          <t>董世会</t>
        </is>
      </c>
      <c r="B251" s="3" t="inlineStr">
        <is>
          <t>8/2</t>
        </is>
      </c>
      <c r="C251" s="3" t="inlineStr">
        <is>
          <t>日</t>
        </is>
      </c>
      <c r="D251" s="3" t="inlineStr">
        <is>
          <t>07:54 14:57</t>
        </is>
      </c>
      <c r="E251" s="4" t="n">
        <v>0.3291666666666667</v>
      </c>
      <c r="F251" s="4" t="n">
        <v>0.6229166666666667</v>
      </c>
      <c r="G251" s="3">
        <f>IF($E251="","空卡",IF($F251="","单卡","正常"))</f>
        <v/>
      </c>
      <c r="H251" s="5">
        <f>IF($G251="正常",ROUND(($F251-$E251)*1440,0),"")</f>
        <v/>
      </c>
      <c r="I251" s="6">
        <f>IF($G251="正常",$H251/60,"")</f>
        <v/>
      </c>
      <c r="J251" s="7">
        <f>IF($G251="正常",ROUND($H251/30,0)/2,"")</f>
        <v/>
      </c>
      <c r="K251" s="7">
        <f>IF($G251="正常",MIN($J251,12),"")</f>
        <v/>
      </c>
      <c r="L251" s="7">
        <f>IF($G251="正常",MAX($J251-12,0),"")</f>
        <v/>
      </c>
    </row>
    <row r="252">
      <c r="A252" s="8" t="inlineStr">
        <is>
          <t>董世会</t>
        </is>
      </c>
      <c r="B252" s="8" t="inlineStr">
        <is>
          <t>8/3</t>
        </is>
      </c>
      <c r="C252" s="8" t="inlineStr">
        <is>
          <t>一</t>
        </is>
      </c>
      <c r="D252" s="8" t="inlineStr">
        <is>
          <t>15:31</t>
        </is>
      </c>
      <c r="E252" s="9" t="n">
        <v>0.6465277777777778</v>
      </c>
      <c r="F252" s="9" t="n"/>
      <c r="G252" s="10">
        <f>IF($E252="","空卡",IF($F252="","单卡","正常"))</f>
        <v/>
      </c>
      <c r="H252" s="11">
        <f>IF($G252="正常",ROUND(($F252-$E252)*1440,0),"")</f>
        <v/>
      </c>
      <c r="I252" s="12">
        <f>IF($G252="正常",$H252/60,"")</f>
        <v/>
      </c>
      <c r="J252" s="13">
        <f>IF($G252="正常",ROUND($H252/30,0)/2,"")</f>
        <v/>
      </c>
      <c r="K252" s="13">
        <f>IF($G252="正常",MIN($J252,12),"")</f>
        <v/>
      </c>
      <c r="L252" s="13">
        <f>IF($G252="正常",MAX($J252-12,0),"")</f>
        <v/>
      </c>
    </row>
    <row r="253">
      <c r="A253" s="3" t="inlineStr">
        <is>
          <t>董世会</t>
        </is>
      </c>
      <c r="B253" s="3" t="inlineStr">
        <is>
          <t>8/4</t>
        </is>
      </c>
      <c r="C253" s="3" t="inlineStr">
        <is>
          <t>二</t>
        </is>
      </c>
      <c r="D253" s="3" t="inlineStr">
        <is>
          <t>09:00 19:55</t>
        </is>
      </c>
      <c r="E253" s="4" t="n">
        <v>0.375</v>
      </c>
      <c r="F253" s="4" t="n">
        <v>0.8298611111111112</v>
      </c>
      <c r="G253" s="3">
        <f>IF($E253="","空卡",IF($F253="","单卡","正常"))</f>
        <v/>
      </c>
      <c r="H253" s="5">
        <f>IF($G253="正常",ROUND(($F253-$E253)*1440,0),"")</f>
        <v/>
      </c>
      <c r="I253" s="6">
        <f>IF($G253="正常",$H253/60,"")</f>
        <v/>
      </c>
      <c r="J253" s="7">
        <f>IF($G253="正常",ROUND($H253/30,0)/2,"")</f>
        <v/>
      </c>
      <c r="K253" s="7">
        <f>IF($G253="正常",MIN($J253,12),"")</f>
        <v/>
      </c>
      <c r="L253" s="7">
        <f>IF($G253="正常",MAX($J253-12,0),"")</f>
        <v/>
      </c>
    </row>
    <row r="254">
      <c r="A254" s="3" t="inlineStr">
        <is>
          <t>董世会</t>
        </is>
      </c>
      <c r="B254" s="3" t="inlineStr">
        <is>
          <t>8/5</t>
        </is>
      </c>
      <c r="C254" s="3" t="inlineStr">
        <is>
          <t>三</t>
        </is>
      </c>
      <c r="D254" s="3" t="inlineStr">
        <is>
          <t>09:38 19:36</t>
        </is>
      </c>
      <c r="E254" s="4" t="n">
        <v>0.4013888888888889</v>
      </c>
      <c r="F254" s="4" t="n">
        <v>0.8166666666666667</v>
      </c>
      <c r="G254" s="3">
        <f>IF($E254="","空卡",IF($F254="","单卡","正常"))</f>
        <v/>
      </c>
      <c r="H254" s="5">
        <f>IF($G254="正常",ROUND(($F254-$E254)*1440,0),"")</f>
        <v/>
      </c>
      <c r="I254" s="6">
        <f>IF($G254="正常",$H254/60,"")</f>
        <v/>
      </c>
      <c r="J254" s="7">
        <f>IF($G254="正常",ROUND($H254/30,0)/2,"")</f>
        <v/>
      </c>
      <c r="K254" s="7">
        <f>IF($G254="正常",MIN($J254,12),"")</f>
        <v/>
      </c>
      <c r="L254" s="7">
        <f>IF($G254="正常",MAX($J254-12,0),"")</f>
        <v/>
      </c>
    </row>
    <row r="255">
      <c r="A255" s="8" t="inlineStr">
        <is>
          <t>董世会</t>
        </is>
      </c>
      <c r="B255" s="8" t="inlineStr">
        <is>
          <t>8/6</t>
        </is>
      </c>
      <c r="C255" s="8" t="inlineStr">
        <is>
          <t>四</t>
        </is>
      </c>
      <c r="D255" s="8" t="inlineStr"/>
      <c r="E255" s="9" t="n"/>
      <c r="F255" s="9" t="n"/>
      <c r="G255" s="10">
        <f>IF($E255="","空卡",IF($F255="","单卡","正常"))</f>
        <v/>
      </c>
      <c r="H255" s="11">
        <f>IF($G255="正常",ROUND(($F255-$E255)*1440,0),"")</f>
        <v/>
      </c>
      <c r="I255" s="12">
        <f>IF($G255="正常",$H255/60,"")</f>
        <v/>
      </c>
      <c r="J255" s="13">
        <f>IF($G255="正常",ROUND($H255/30,0)/2,"")</f>
        <v/>
      </c>
      <c r="K255" s="13">
        <f>IF($G255="正常",MIN($J255,12),"")</f>
        <v/>
      </c>
      <c r="L255" s="13">
        <f>IF($G255="正常",MAX($J255-12,0),"")</f>
        <v/>
      </c>
    </row>
    <row r="256">
      <c r="A256" s="8" t="inlineStr">
        <is>
          <t>董世会</t>
        </is>
      </c>
      <c r="B256" s="8" t="inlineStr">
        <is>
          <t>8/7</t>
        </is>
      </c>
      <c r="C256" s="8" t="inlineStr">
        <is>
          <t>五</t>
        </is>
      </c>
      <c r="D256" s="8" t="inlineStr">
        <is>
          <t>20:08</t>
        </is>
      </c>
      <c r="E256" s="9" t="n">
        <v>0.8388888888888889</v>
      </c>
      <c r="F256" s="9" t="n"/>
      <c r="G256" s="10">
        <f>IF($E256="","空卡",IF($F256="","单卡","正常"))</f>
        <v/>
      </c>
      <c r="H256" s="11">
        <f>IF($G256="正常",ROUND(($F256-$E256)*1440,0),"")</f>
        <v/>
      </c>
      <c r="I256" s="12">
        <f>IF($G256="正常",$H256/60,"")</f>
        <v/>
      </c>
      <c r="J256" s="13">
        <f>IF($G256="正常",ROUND($H256/30,0)/2,"")</f>
        <v/>
      </c>
      <c r="K256" s="13">
        <f>IF($G256="正常",MIN($J256,12),"")</f>
        <v/>
      </c>
      <c r="L256" s="13">
        <f>IF($G256="正常",MAX($J256-12,0),"")</f>
        <v/>
      </c>
    </row>
    <row r="257">
      <c r="A257" s="3" t="inlineStr">
        <is>
          <t>董世会</t>
        </is>
      </c>
      <c r="B257" s="3" t="inlineStr">
        <is>
          <t>8/8</t>
        </is>
      </c>
      <c r="C257" s="3" t="inlineStr">
        <is>
          <t>六</t>
        </is>
      </c>
      <c r="D257" s="3" t="inlineStr">
        <is>
          <t>08:15 19:36</t>
        </is>
      </c>
      <c r="E257" s="4" t="n">
        <v>0.34375</v>
      </c>
      <c r="F257" s="4" t="n">
        <v>0.8166666666666667</v>
      </c>
      <c r="G257" s="3">
        <f>IF($E257="","空卡",IF($F257="","单卡","正常"))</f>
        <v/>
      </c>
      <c r="H257" s="5">
        <f>IF($G257="正常",ROUND(($F257-$E257)*1440,0),"")</f>
        <v/>
      </c>
      <c r="I257" s="6">
        <f>IF($G257="正常",$H257/60,"")</f>
        <v/>
      </c>
      <c r="J257" s="7">
        <f>IF($G257="正常",ROUND($H257/30,0)/2,"")</f>
        <v/>
      </c>
      <c r="K257" s="7">
        <f>IF($G257="正常",MIN($J257,12),"")</f>
        <v/>
      </c>
      <c r="L257" s="7">
        <f>IF($G257="正常",MAX($J257-12,0),"")</f>
        <v/>
      </c>
    </row>
    <row r="258">
      <c r="A258" s="8" t="inlineStr">
        <is>
          <t>董世会</t>
        </is>
      </c>
      <c r="B258" s="8" t="inlineStr">
        <is>
          <t>8/9</t>
        </is>
      </c>
      <c r="C258" s="8" t="inlineStr">
        <is>
          <t>日</t>
        </is>
      </c>
      <c r="D258" s="8" t="inlineStr"/>
      <c r="E258" s="9" t="n"/>
      <c r="F258" s="9" t="n"/>
      <c r="G258" s="10">
        <f>IF($E258="","空卡",IF($F258="","单卡","正常"))</f>
        <v/>
      </c>
      <c r="H258" s="11">
        <f>IF($G258="正常",ROUND(($F258-$E258)*1440,0),"")</f>
        <v/>
      </c>
      <c r="I258" s="12">
        <f>IF($G258="正常",$H258/60,"")</f>
        <v/>
      </c>
      <c r="J258" s="13">
        <f>IF($G258="正常",ROUND($H258/30,0)/2,"")</f>
        <v/>
      </c>
      <c r="K258" s="13">
        <f>IF($G258="正常",MIN($J258,12),"")</f>
        <v/>
      </c>
      <c r="L258" s="13">
        <f>IF($G258="正常",MAX($J258-12,0),"")</f>
        <v/>
      </c>
    </row>
    <row r="259">
      <c r="A259" s="3" t="inlineStr">
        <is>
          <t>董世会</t>
        </is>
      </c>
      <c r="B259" s="3" t="inlineStr">
        <is>
          <t>8/10</t>
        </is>
      </c>
      <c r="C259" s="3" t="inlineStr">
        <is>
          <t>一</t>
        </is>
      </c>
      <c r="D259" s="3" t="inlineStr">
        <is>
          <t>08:20 19:55</t>
        </is>
      </c>
      <c r="E259" s="4" t="n">
        <v>0.3472222222222222</v>
      </c>
      <c r="F259" s="4" t="n">
        <v>0.8298611111111112</v>
      </c>
      <c r="G259" s="3">
        <f>IF($E259="","空卡",IF($F259="","单卡","正常"))</f>
        <v/>
      </c>
      <c r="H259" s="5">
        <f>IF($G259="正常",ROUND(($F259-$E259)*1440,0),"")</f>
        <v/>
      </c>
      <c r="I259" s="6">
        <f>IF($G259="正常",$H259/60,"")</f>
        <v/>
      </c>
      <c r="J259" s="7">
        <f>IF($G259="正常",ROUND($H259/30,0)/2,"")</f>
        <v/>
      </c>
      <c r="K259" s="7">
        <f>IF($G259="正常",MIN($J259,12),"")</f>
        <v/>
      </c>
      <c r="L259" s="7">
        <f>IF($G259="正常",MAX($J259-12,0),"")</f>
        <v/>
      </c>
    </row>
    <row r="260">
      <c r="A260" s="3" t="inlineStr">
        <is>
          <t>董世会</t>
        </is>
      </c>
      <c r="B260" s="3" t="inlineStr">
        <is>
          <t>8/11</t>
        </is>
      </c>
      <c r="C260" s="3" t="inlineStr">
        <is>
          <t>二</t>
        </is>
      </c>
      <c r="D260" s="3" t="inlineStr">
        <is>
          <t>08:30 18:06</t>
        </is>
      </c>
      <c r="E260" s="4" t="n">
        <v>0.3541666666666667</v>
      </c>
      <c r="F260" s="4" t="n">
        <v>0.7541666666666667</v>
      </c>
      <c r="G260" s="3">
        <f>IF($E260="","空卡",IF($F260="","单卡","正常"))</f>
        <v/>
      </c>
      <c r="H260" s="5">
        <f>IF($G260="正常",ROUND(($F260-$E260)*1440,0),"")</f>
        <v/>
      </c>
      <c r="I260" s="6">
        <f>IF($G260="正常",$H260/60,"")</f>
        <v/>
      </c>
      <c r="J260" s="7">
        <f>IF($G260="正常",ROUND($H260/30,0)/2,"")</f>
        <v/>
      </c>
      <c r="K260" s="7">
        <f>IF($G260="正常",MIN($J260,12),"")</f>
        <v/>
      </c>
      <c r="L260" s="7">
        <f>IF($G260="正常",MAX($J260-12,0),"")</f>
        <v/>
      </c>
    </row>
    <row r="261">
      <c r="A261" s="3" t="inlineStr">
        <is>
          <t>董世会</t>
        </is>
      </c>
      <c r="B261" s="3" t="inlineStr">
        <is>
          <t>8/12</t>
        </is>
      </c>
      <c r="C261" s="3" t="inlineStr">
        <is>
          <t>三</t>
        </is>
      </c>
      <c r="D261" s="3" t="inlineStr">
        <is>
          <t>09:55 18:38</t>
        </is>
      </c>
      <c r="E261" s="4" t="n">
        <v>0.4131944444444444</v>
      </c>
      <c r="F261" s="4" t="n">
        <v>0.7763888888888889</v>
      </c>
      <c r="G261" s="3">
        <f>IF($E261="","空卡",IF($F261="","单卡","正常"))</f>
        <v/>
      </c>
      <c r="H261" s="5">
        <f>IF($G261="正常",ROUND(($F261-$E261)*1440,0),"")</f>
        <v/>
      </c>
      <c r="I261" s="6">
        <f>IF($G261="正常",$H261/60,"")</f>
        <v/>
      </c>
      <c r="J261" s="7">
        <f>IF($G261="正常",ROUND($H261/30,0)/2,"")</f>
        <v/>
      </c>
      <c r="K261" s="7">
        <f>IF($G261="正常",MIN($J261,12),"")</f>
        <v/>
      </c>
      <c r="L261" s="7">
        <f>IF($G261="正常",MAX($J261-12,0),"")</f>
        <v/>
      </c>
    </row>
    <row r="262">
      <c r="A262" s="3" t="inlineStr">
        <is>
          <t>董世会</t>
        </is>
      </c>
      <c r="B262" s="3" t="inlineStr">
        <is>
          <t>8/13</t>
        </is>
      </c>
      <c r="C262" s="3" t="inlineStr">
        <is>
          <t>四</t>
        </is>
      </c>
      <c r="D262" s="3" t="inlineStr">
        <is>
          <t>08:23 19:02</t>
        </is>
      </c>
      <c r="E262" s="4" t="n">
        <v>0.3493055555555555</v>
      </c>
      <c r="F262" s="4" t="n">
        <v>0.7930555555555555</v>
      </c>
      <c r="G262" s="3">
        <f>IF($E262="","空卡",IF($F262="","单卡","正常"))</f>
        <v/>
      </c>
      <c r="H262" s="5">
        <f>IF($G262="正常",ROUND(($F262-$E262)*1440,0),"")</f>
        <v/>
      </c>
      <c r="I262" s="6">
        <f>IF($G262="正常",$H262/60,"")</f>
        <v/>
      </c>
      <c r="J262" s="7">
        <f>IF($G262="正常",ROUND($H262/30,0)/2,"")</f>
        <v/>
      </c>
      <c r="K262" s="7">
        <f>IF($G262="正常",MIN($J262,12),"")</f>
        <v/>
      </c>
      <c r="L262" s="7">
        <f>IF($G262="正常",MAX($J262-12,0),"")</f>
        <v/>
      </c>
    </row>
    <row r="263">
      <c r="A263" s="3" t="inlineStr">
        <is>
          <t>董世会</t>
        </is>
      </c>
      <c r="B263" s="3" t="inlineStr">
        <is>
          <t>8/14</t>
        </is>
      </c>
      <c r="C263" s="3" t="inlineStr">
        <is>
          <t>五</t>
        </is>
      </c>
      <c r="D263" s="3" t="inlineStr">
        <is>
          <t>08:25 20:55</t>
        </is>
      </c>
      <c r="E263" s="4" t="n">
        <v>0.3506944444444444</v>
      </c>
      <c r="F263" s="4" t="n">
        <v>0.8715277777777778</v>
      </c>
      <c r="G263" s="3">
        <f>IF($E263="","空卡",IF($F263="","单卡","正常"))</f>
        <v/>
      </c>
      <c r="H263" s="5">
        <f>IF($G263="正常",ROUND(($F263-$E263)*1440,0),"")</f>
        <v/>
      </c>
      <c r="I263" s="6">
        <f>IF($G263="正常",$H263/60,"")</f>
        <v/>
      </c>
      <c r="J263" s="7">
        <f>IF($G263="正常",ROUND($H263/30,0)/2,"")</f>
        <v/>
      </c>
      <c r="K263" s="7">
        <f>IF($G263="正常",MIN($J263,12),"")</f>
        <v/>
      </c>
      <c r="L263" s="7">
        <f>IF($G263="正常",MAX($J263-12,0),"")</f>
        <v/>
      </c>
    </row>
    <row r="264">
      <c r="A264" s="8" t="inlineStr">
        <is>
          <t>董世会</t>
        </is>
      </c>
      <c r="B264" s="8" t="inlineStr">
        <is>
          <t>8/15</t>
        </is>
      </c>
      <c r="C264" s="8" t="inlineStr">
        <is>
          <t>六</t>
        </is>
      </c>
      <c r="D264" s="8" t="inlineStr"/>
      <c r="E264" s="9" t="n"/>
      <c r="F264" s="9" t="n"/>
      <c r="G264" s="10">
        <f>IF($E264="","空卡",IF($F264="","单卡","正常"))</f>
        <v/>
      </c>
      <c r="H264" s="11">
        <f>IF($G264="正常",ROUND(($F264-$E264)*1440,0),"")</f>
        <v/>
      </c>
      <c r="I264" s="12">
        <f>IF($G264="正常",$H264/60,"")</f>
        <v/>
      </c>
      <c r="J264" s="13">
        <f>IF($G264="正常",ROUND($H264/30,0)/2,"")</f>
        <v/>
      </c>
      <c r="K264" s="13">
        <f>IF($G264="正常",MIN($J264,12),"")</f>
        <v/>
      </c>
      <c r="L264" s="13">
        <f>IF($G264="正常",MAX($J264-12,0),"")</f>
        <v/>
      </c>
    </row>
    <row r="265">
      <c r="A265" s="8" t="inlineStr">
        <is>
          <t>董世会</t>
        </is>
      </c>
      <c r="B265" s="8" t="inlineStr">
        <is>
          <t>8/16</t>
        </is>
      </c>
      <c r="C265" s="8" t="inlineStr">
        <is>
          <t>日</t>
        </is>
      </c>
      <c r="D265" s="8" t="inlineStr"/>
      <c r="E265" s="9" t="n"/>
      <c r="F265" s="9" t="n"/>
      <c r="G265" s="10">
        <f>IF($E265="","空卡",IF($F265="","单卡","正常"))</f>
        <v/>
      </c>
      <c r="H265" s="11">
        <f>IF($G265="正常",ROUND(($F265-$E265)*1440,0),"")</f>
        <v/>
      </c>
      <c r="I265" s="12">
        <f>IF($G265="正常",$H265/60,"")</f>
        <v/>
      </c>
      <c r="J265" s="13">
        <f>IF($G265="正常",ROUND($H265/30,0)/2,"")</f>
        <v/>
      </c>
      <c r="K265" s="13">
        <f>IF($G265="正常",MIN($J265,12),"")</f>
        <v/>
      </c>
      <c r="L265" s="13">
        <f>IF($G265="正常",MAX($J265-12,0),"")</f>
        <v/>
      </c>
    </row>
    <row r="266">
      <c r="A266" s="3" t="inlineStr">
        <is>
          <t>董世会</t>
        </is>
      </c>
      <c r="B266" s="3" t="inlineStr">
        <is>
          <t>8/17</t>
        </is>
      </c>
      <c r="C266" s="3" t="inlineStr">
        <is>
          <t>一</t>
        </is>
      </c>
      <c r="D266" s="3" t="inlineStr">
        <is>
          <t>07:47 19:59</t>
        </is>
      </c>
      <c r="E266" s="4" t="n">
        <v>0.3243055555555556</v>
      </c>
      <c r="F266" s="4" t="n">
        <v>0.8326388888888889</v>
      </c>
      <c r="G266" s="3">
        <f>IF($E266="","空卡",IF($F266="","单卡","正常"))</f>
        <v/>
      </c>
      <c r="H266" s="5">
        <f>IF($G266="正常",ROUND(($F266-$E266)*1440,0),"")</f>
        <v/>
      </c>
      <c r="I266" s="6">
        <f>IF($G266="正常",$H266/60,"")</f>
        <v/>
      </c>
      <c r="J266" s="7">
        <f>IF($G266="正常",ROUND($H266/30,0)/2,"")</f>
        <v/>
      </c>
      <c r="K266" s="7">
        <f>IF($G266="正常",MIN($J266,12),"")</f>
        <v/>
      </c>
      <c r="L266" s="7">
        <f>IF($G266="正常",MAX($J266-12,0),"")</f>
        <v/>
      </c>
    </row>
    <row r="267">
      <c r="A267" s="3" t="inlineStr">
        <is>
          <t>董世会</t>
        </is>
      </c>
      <c r="B267" s="3" t="inlineStr">
        <is>
          <t>8/18</t>
        </is>
      </c>
      <c r="C267" s="3" t="inlineStr">
        <is>
          <t>二</t>
        </is>
      </c>
      <c r="D267" s="3" t="inlineStr">
        <is>
          <t>07:53 19:02</t>
        </is>
      </c>
      <c r="E267" s="4" t="n">
        <v>0.3284722222222222</v>
      </c>
      <c r="F267" s="4" t="n">
        <v>0.7930555555555555</v>
      </c>
      <c r="G267" s="3">
        <f>IF($E267="","空卡",IF($F267="","单卡","正常"))</f>
        <v/>
      </c>
      <c r="H267" s="5">
        <f>IF($G267="正常",ROUND(($F267-$E267)*1440,0),"")</f>
        <v/>
      </c>
      <c r="I267" s="6">
        <f>IF($G267="正常",$H267/60,"")</f>
        <v/>
      </c>
      <c r="J267" s="7">
        <f>IF($G267="正常",ROUND($H267/30,0)/2,"")</f>
        <v/>
      </c>
      <c r="K267" s="7">
        <f>IF($G267="正常",MIN($J267,12),"")</f>
        <v/>
      </c>
      <c r="L267" s="7">
        <f>IF($G267="正常",MAX($J267-12,0),"")</f>
        <v/>
      </c>
    </row>
    <row r="268">
      <c r="A268" s="8" t="inlineStr">
        <is>
          <t>董世会</t>
        </is>
      </c>
      <c r="B268" s="8" t="inlineStr">
        <is>
          <t>8/19</t>
        </is>
      </c>
      <c r="C268" s="8" t="inlineStr">
        <is>
          <t>三</t>
        </is>
      </c>
      <c r="D268" s="8" t="inlineStr">
        <is>
          <t>20:30</t>
        </is>
      </c>
      <c r="E268" s="9" t="n">
        <v>0.8541666666666666</v>
      </c>
      <c r="F268" s="9" t="n"/>
      <c r="G268" s="10">
        <f>IF($E268="","空卡",IF($F268="","单卡","正常"))</f>
        <v/>
      </c>
      <c r="H268" s="11">
        <f>IF($G268="正常",ROUND(($F268-$E268)*1440,0),"")</f>
        <v/>
      </c>
      <c r="I268" s="12">
        <f>IF($G268="正常",$H268/60,"")</f>
        <v/>
      </c>
      <c r="J268" s="13">
        <f>IF($G268="正常",ROUND($H268/30,0)/2,"")</f>
        <v/>
      </c>
      <c r="K268" s="13">
        <f>IF($G268="正常",MIN($J268,12),"")</f>
        <v/>
      </c>
      <c r="L268" s="13">
        <f>IF($G268="正常",MAX($J268-12,0),"")</f>
        <v/>
      </c>
    </row>
    <row r="269">
      <c r="A269" s="3" t="inlineStr">
        <is>
          <t>董世会</t>
        </is>
      </c>
      <c r="B269" s="3" t="inlineStr">
        <is>
          <t>8/20</t>
        </is>
      </c>
      <c r="C269" s="3" t="inlineStr">
        <is>
          <t>四</t>
        </is>
      </c>
      <c r="D269" s="3" t="inlineStr">
        <is>
          <t>08:31 20:04</t>
        </is>
      </c>
      <c r="E269" s="4" t="n">
        <v>0.3548611111111111</v>
      </c>
      <c r="F269" s="4" t="n">
        <v>0.8361111111111111</v>
      </c>
      <c r="G269" s="3">
        <f>IF($E269="","空卡",IF($F269="","单卡","正常"))</f>
        <v/>
      </c>
      <c r="H269" s="5">
        <f>IF($G269="正常",ROUND(($F269-$E269)*1440,0),"")</f>
        <v/>
      </c>
      <c r="I269" s="6">
        <f>IF($G269="正常",$H269/60,"")</f>
        <v/>
      </c>
      <c r="J269" s="7">
        <f>IF($G269="正常",ROUND($H269/30,0)/2,"")</f>
        <v/>
      </c>
      <c r="K269" s="7">
        <f>IF($G269="正常",MIN($J269,12),"")</f>
        <v/>
      </c>
      <c r="L269" s="7">
        <f>IF($G269="正常",MAX($J269-12,0),"")</f>
        <v/>
      </c>
    </row>
    <row r="270">
      <c r="A270" s="3" t="inlineStr">
        <is>
          <t>董世会</t>
        </is>
      </c>
      <c r="B270" s="3" t="inlineStr">
        <is>
          <t>8/21</t>
        </is>
      </c>
      <c r="C270" s="3" t="inlineStr">
        <is>
          <t>五</t>
        </is>
      </c>
      <c r="D270" s="3" t="inlineStr">
        <is>
          <t>06:50 19:16</t>
        </is>
      </c>
      <c r="E270" s="4" t="n">
        <v>0.2847222222222222</v>
      </c>
      <c r="F270" s="4" t="n">
        <v>0.8027777777777778</v>
      </c>
      <c r="G270" s="3">
        <f>IF($E270="","空卡",IF($F270="","单卡","正常"))</f>
        <v/>
      </c>
      <c r="H270" s="5">
        <f>IF($G270="正常",ROUND(($F270-$E270)*1440,0),"")</f>
        <v/>
      </c>
      <c r="I270" s="6">
        <f>IF($G270="正常",$H270/60,"")</f>
        <v/>
      </c>
      <c r="J270" s="7">
        <f>IF($G270="正常",ROUND($H270/30,0)/2,"")</f>
        <v/>
      </c>
      <c r="K270" s="7">
        <f>IF($G270="正常",MIN($J270,12),"")</f>
        <v/>
      </c>
      <c r="L270" s="7">
        <f>IF($G270="正常",MAX($J270-12,0),"")</f>
        <v/>
      </c>
    </row>
    <row r="271">
      <c r="A271" s="3" t="inlineStr">
        <is>
          <t>董世会</t>
        </is>
      </c>
      <c r="B271" s="3" t="inlineStr">
        <is>
          <t>8/22</t>
        </is>
      </c>
      <c r="C271" s="3" t="inlineStr">
        <is>
          <t>六</t>
        </is>
      </c>
      <c r="D271" s="3" t="inlineStr">
        <is>
          <t>06:54 18:29</t>
        </is>
      </c>
      <c r="E271" s="4" t="n">
        <v>0.2875</v>
      </c>
      <c r="F271" s="4" t="n">
        <v>0.7701388888888889</v>
      </c>
      <c r="G271" s="3">
        <f>IF($E271="","空卡",IF($F271="","单卡","正常"))</f>
        <v/>
      </c>
      <c r="H271" s="5">
        <f>IF($G271="正常",ROUND(($F271-$E271)*1440,0),"")</f>
        <v/>
      </c>
      <c r="I271" s="6">
        <f>IF($G271="正常",$H271/60,"")</f>
        <v/>
      </c>
      <c r="J271" s="7">
        <f>IF($G271="正常",ROUND($H271/30,0)/2,"")</f>
        <v/>
      </c>
      <c r="K271" s="7">
        <f>IF($G271="正常",MIN($J271,12),"")</f>
        <v/>
      </c>
      <c r="L271" s="7">
        <f>IF($G271="正常",MAX($J271-12,0),"")</f>
        <v/>
      </c>
    </row>
    <row r="272">
      <c r="A272" s="3" t="inlineStr">
        <is>
          <t>董世会</t>
        </is>
      </c>
      <c r="B272" s="3" t="inlineStr">
        <is>
          <t>8/23</t>
        </is>
      </c>
      <c r="C272" s="3" t="inlineStr">
        <is>
          <t>日</t>
        </is>
      </c>
      <c r="D272" s="3" t="inlineStr">
        <is>
          <t>07:03 18:02</t>
        </is>
      </c>
      <c r="E272" s="4" t="n">
        <v>0.29375</v>
      </c>
      <c r="F272" s="4" t="n">
        <v>0.7513888888888889</v>
      </c>
      <c r="G272" s="3">
        <f>IF($E272="","空卡",IF($F272="","单卡","正常"))</f>
        <v/>
      </c>
      <c r="H272" s="5">
        <f>IF($G272="正常",ROUND(($F272-$E272)*1440,0),"")</f>
        <v/>
      </c>
      <c r="I272" s="6">
        <f>IF($G272="正常",$H272/60,"")</f>
        <v/>
      </c>
      <c r="J272" s="7">
        <f>IF($G272="正常",ROUND($H272/30,0)/2,"")</f>
        <v/>
      </c>
      <c r="K272" s="7">
        <f>IF($G272="正常",MIN($J272,12),"")</f>
        <v/>
      </c>
      <c r="L272" s="7">
        <f>IF($G272="正常",MAX($J272-12,0),"")</f>
        <v/>
      </c>
    </row>
    <row r="273">
      <c r="A273" s="3" t="inlineStr">
        <is>
          <t>董世会</t>
        </is>
      </c>
      <c r="B273" s="3" t="inlineStr">
        <is>
          <t>8/24</t>
        </is>
      </c>
      <c r="C273" s="3" t="inlineStr">
        <is>
          <t>一</t>
        </is>
      </c>
      <c r="D273" s="3" t="inlineStr">
        <is>
          <t>06:55 16:38</t>
        </is>
      </c>
      <c r="E273" s="4" t="n">
        <v>0.2881944444444444</v>
      </c>
      <c r="F273" s="4" t="n">
        <v>0.6930555555555555</v>
      </c>
      <c r="G273" s="3">
        <f>IF($E273="","空卡",IF($F273="","单卡","正常"))</f>
        <v/>
      </c>
      <c r="H273" s="5">
        <f>IF($G273="正常",ROUND(($F273-$E273)*1440,0),"")</f>
        <v/>
      </c>
      <c r="I273" s="6">
        <f>IF($G273="正常",$H273/60,"")</f>
        <v/>
      </c>
      <c r="J273" s="7">
        <f>IF($G273="正常",ROUND($H273/30,0)/2,"")</f>
        <v/>
      </c>
      <c r="K273" s="7">
        <f>IF($G273="正常",MIN($J273,12),"")</f>
        <v/>
      </c>
      <c r="L273" s="7">
        <f>IF($G273="正常",MAX($J273-12,0),"")</f>
        <v/>
      </c>
    </row>
    <row r="274">
      <c r="A274" s="3" t="inlineStr">
        <is>
          <t>董世会</t>
        </is>
      </c>
      <c r="B274" s="3" t="inlineStr">
        <is>
          <t>8/25</t>
        </is>
      </c>
      <c r="C274" s="3" t="inlineStr">
        <is>
          <t>二</t>
        </is>
      </c>
      <c r="D274" s="3" t="inlineStr">
        <is>
          <t>09:38 18:37</t>
        </is>
      </c>
      <c r="E274" s="4" t="n">
        <v>0.4013888888888889</v>
      </c>
      <c r="F274" s="4" t="n">
        <v>0.7756944444444445</v>
      </c>
      <c r="G274" s="3">
        <f>IF($E274="","空卡",IF($F274="","单卡","正常"))</f>
        <v/>
      </c>
      <c r="H274" s="5">
        <f>IF($G274="正常",ROUND(($F274-$E274)*1440,0),"")</f>
        <v/>
      </c>
      <c r="I274" s="6">
        <f>IF($G274="正常",$H274/60,"")</f>
        <v/>
      </c>
      <c r="J274" s="7">
        <f>IF($G274="正常",ROUND($H274/30,0)/2,"")</f>
        <v/>
      </c>
      <c r="K274" s="7">
        <f>IF($G274="正常",MIN($J274,12),"")</f>
        <v/>
      </c>
      <c r="L274" s="7">
        <f>IF($G274="正常",MAX($J274-12,0),"")</f>
        <v/>
      </c>
    </row>
    <row r="275">
      <c r="A275" s="3" t="inlineStr">
        <is>
          <t>董世会</t>
        </is>
      </c>
      <c r="B275" s="3" t="inlineStr">
        <is>
          <t>8/26</t>
        </is>
      </c>
      <c r="C275" s="3" t="inlineStr">
        <is>
          <t>三</t>
        </is>
      </c>
      <c r="D275" s="3" t="inlineStr">
        <is>
          <t>07:51 19:00</t>
        </is>
      </c>
      <c r="E275" s="4" t="n">
        <v>0.3270833333333333</v>
      </c>
      <c r="F275" s="4" t="n">
        <v>0.7916666666666666</v>
      </c>
      <c r="G275" s="3">
        <f>IF($E275="","空卡",IF($F275="","单卡","正常"))</f>
        <v/>
      </c>
      <c r="H275" s="5">
        <f>IF($G275="正常",ROUND(($F275-$E275)*1440,0),"")</f>
        <v/>
      </c>
      <c r="I275" s="6">
        <f>IF($G275="正常",$H275/60,"")</f>
        <v/>
      </c>
      <c r="J275" s="7">
        <f>IF($G275="正常",ROUND($H275/30,0)/2,"")</f>
        <v/>
      </c>
      <c r="K275" s="7">
        <f>IF($G275="正常",MIN($J275,12),"")</f>
        <v/>
      </c>
      <c r="L275" s="7">
        <f>IF($G275="正常",MAX($J275-12,0),"")</f>
        <v/>
      </c>
    </row>
    <row r="276">
      <c r="A276" s="3" t="inlineStr">
        <is>
          <t>董世会</t>
        </is>
      </c>
      <c r="B276" s="3" t="inlineStr">
        <is>
          <t>8/27</t>
        </is>
      </c>
      <c r="C276" s="3" t="inlineStr">
        <is>
          <t>四</t>
        </is>
      </c>
      <c r="D276" s="3" t="inlineStr">
        <is>
          <t>07:56 19:09</t>
        </is>
      </c>
      <c r="E276" s="4" t="n">
        <v>0.3305555555555555</v>
      </c>
      <c r="F276" s="4" t="n">
        <v>0.7979166666666667</v>
      </c>
      <c r="G276" s="3">
        <f>IF($E276="","空卡",IF($F276="","单卡","正常"))</f>
        <v/>
      </c>
      <c r="H276" s="5">
        <f>IF($G276="正常",ROUND(($F276-$E276)*1440,0),"")</f>
        <v/>
      </c>
      <c r="I276" s="6">
        <f>IF($G276="正常",$H276/60,"")</f>
        <v/>
      </c>
      <c r="J276" s="7">
        <f>IF($G276="正常",ROUND($H276/30,0)/2,"")</f>
        <v/>
      </c>
      <c r="K276" s="7">
        <f>IF($G276="正常",MIN($J276,12),"")</f>
        <v/>
      </c>
      <c r="L276" s="7">
        <f>IF($G276="正常",MAX($J276-12,0),"")</f>
        <v/>
      </c>
    </row>
    <row r="277">
      <c r="A277" s="8" t="inlineStr">
        <is>
          <t>董世会</t>
        </is>
      </c>
      <c r="B277" s="8" t="inlineStr">
        <is>
          <t>8/28</t>
        </is>
      </c>
      <c r="C277" s="8" t="inlineStr">
        <is>
          <t>五</t>
        </is>
      </c>
      <c r="D277" s="8" t="inlineStr"/>
      <c r="E277" s="9" t="n"/>
      <c r="F277" s="9" t="n"/>
      <c r="G277" s="10">
        <f>IF($E277="","空卡",IF($F277="","单卡","正常"))</f>
        <v/>
      </c>
      <c r="H277" s="11">
        <f>IF($G277="正常",ROUND(($F277-$E277)*1440,0),"")</f>
        <v/>
      </c>
      <c r="I277" s="12">
        <f>IF($G277="正常",$H277/60,"")</f>
        <v/>
      </c>
      <c r="J277" s="13">
        <f>IF($G277="正常",ROUND($H277/30,0)/2,"")</f>
        <v/>
      </c>
      <c r="K277" s="13">
        <f>IF($G277="正常",MIN($J277,12),"")</f>
        <v/>
      </c>
      <c r="L277" s="13">
        <f>IF($G277="正常",MAX($J277-12,0),"")</f>
        <v/>
      </c>
    </row>
    <row r="278">
      <c r="A278" s="3" t="inlineStr">
        <is>
          <t>董世会</t>
        </is>
      </c>
      <c r="B278" s="3" t="inlineStr">
        <is>
          <t>8/29</t>
        </is>
      </c>
      <c r="C278" s="3" t="inlineStr">
        <is>
          <t>六</t>
        </is>
      </c>
      <c r="D278" s="3" t="inlineStr">
        <is>
          <t>07:51 22:34</t>
        </is>
      </c>
      <c r="E278" s="4" t="n">
        <v>0.3270833333333333</v>
      </c>
      <c r="F278" s="4" t="n">
        <v>0.9402777777777778</v>
      </c>
      <c r="G278" s="3">
        <f>IF($E278="","空卡",IF($F278="","单卡","正常"))</f>
        <v/>
      </c>
      <c r="H278" s="5">
        <f>IF($G278="正常",ROUND(($F278-$E278)*1440,0),"")</f>
        <v/>
      </c>
      <c r="I278" s="6">
        <f>IF($G278="正常",$H278/60,"")</f>
        <v/>
      </c>
      <c r="J278" s="7">
        <f>IF($G278="正常",ROUND($H278/30,0)/2,"")</f>
        <v/>
      </c>
      <c r="K278" s="7">
        <f>IF($G278="正常",MIN($J278,12),"")</f>
        <v/>
      </c>
      <c r="L278" s="7">
        <f>IF($G278="正常",MAX($J278-12,0),"")</f>
        <v/>
      </c>
    </row>
    <row r="279">
      <c r="A279" s="3" t="inlineStr">
        <is>
          <t>董世会</t>
        </is>
      </c>
      <c r="B279" s="3" t="inlineStr">
        <is>
          <t>8/30</t>
        </is>
      </c>
      <c r="C279" s="3" t="inlineStr">
        <is>
          <t>日</t>
        </is>
      </c>
      <c r="D279" s="3" t="inlineStr">
        <is>
          <t>07:53 21:15</t>
        </is>
      </c>
      <c r="E279" s="4" t="n">
        <v>0.3284722222222222</v>
      </c>
      <c r="F279" s="4" t="n">
        <v>0.8854166666666666</v>
      </c>
      <c r="G279" s="3">
        <f>IF($E279="","空卡",IF($F279="","单卡","正常"))</f>
        <v/>
      </c>
      <c r="H279" s="5">
        <f>IF($G279="正常",ROUND(($F279-$E279)*1440,0),"")</f>
        <v/>
      </c>
      <c r="I279" s="6">
        <f>IF($G279="正常",$H279/60,"")</f>
        <v/>
      </c>
      <c r="J279" s="7">
        <f>IF($G279="正常",ROUND($H279/30,0)/2,"")</f>
        <v/>
      </c>
      <c r="K279" s="7">
        <f>IF($G279="正常",MIN($J279,12),"")</f>
        <v/>
      </c>
      <c r="L279" s="7">
        <f>IF($G279="正常",MAX($J279-12,0),"")</f>
        <v/>
      </c>
    </row>
    <row r="280">
      <c r="A280" s="8" t="inlineStr">
        <is>
          <t>董世会</t>
        </is>
      </c>
      <c r="B280" s="8" t="inlineStr">
        <is>
          <t>8/31</t>
        </is>
      </c>
      <c r="C280" s="8" t="inlineStr">
        <is>
          <t>一</t>
        </is>
      </c>
      <c r="D280" s="8" t="inlineStr"/>
      <c r="E280" s="9" t="n"/>
      <c r="F280" s="9" t="n"/>
      <c r="G280" s="10">
        <f>IF($E280="","空卡",IF($F280="","单卡","正常"))</f>
        <v/>
      </c>
      <c r="H280" s="11">
        <f>IF($G280="正常",ROUND(($F280-$E280)*1440,0),"")</f>
        <v/>
      </c>
      <c r="I280" s="12">
        <f>IF($G280="正常",$H280/60,"")</f>
        <v/>
      </c>
      <c r="J280" s="13">
        <f>IF($G280="正常",ROUND($H280/30,0)/2,"")</f>
        <v/>
      </c>
      <c r="K280" s="13">
        <f>IF($G280="正常",MIN($J280,12),"")</f>
        <v/>
      </c>
      <c r="L280" s="13">
        <f>IF($G280="正常",MAX($J280-12,0),"")</f>
        <v/>
      </c>
    </row>
    <row r="281">
      <c r="A281" s="8" t="inlineStr">
        <is>
          <t>蹇泽会</t>
        </is>
      </c>
      <c r="B281" s="8" t="inlineStr">
        <is>
          <t>8/1</t>
        </is>
      </c>
      <c r="C281" s="8" t="inlineStr">
        <is>
          <t>六</t>
        </is>
      </c>
      <c r="D281" s="8" t="inlineStr"/>
      <c r="E281" s="9" t="n"/>
      <c r="F281" s="9" t="n"/>
      <c r="G281" s="10">
        <f>IF($E281="","空卡",IF($F281="","单卡","正常"))</f>
        <v/>
      </c>
      <c r="H281" s="11">
        <f>IF($G281="正常",ROUND(($F281-$E281)*1440,0),"")</f>
        <v/>
      </c>
      <c r="I281" s="12">
        <f>IF($G281="正常",$H281/60,"")</f>
        <v/>
      </c>
      <c r="J281" s="13">
        <f>IF($G281="正常",ROUND($H281/30,0)/2,"")</f>
        <v/>
      </c>
      <c r="K281" s="13">
        <f>IF($G281="正常",MIN($J281,12),"")</f>
        <v/>
      </c>
      <c r="L281" s="13">
        <f>IF($G281="正常",MAX($J281-12,0),"")</f>
        <v/>
      </c>
    </row>
    <row r="282">
      <c r="A282" s="8" t="inlineStr">
        <is>
          <t>蹇泽会</t>
        </is>
      </c>
      <c r="B282" s="8" t="inlineStr">
        <is>
          <t>8/2</t>
        </is>
      </c>
      <c r="C282" s="8" t="inlineStr">
        <is>
          <t>日</t>
        </is>
      </c>
      <c r="D282" s="8" t="inlineStr"/>
      <c r="E282" s="9" t="n"/>
      <c r="F282" s="9" t="n"/>
      <c r="G282" s="10">
        <f>IF($E282="","空卡",IF($F282="","单卡","正常"))</f>
        <v/>
      </c>
      <c r="H282" s="11">
        <f>IF($G282="正常",ROUND(($F282-$E282)*1440,0),"")</f>
        <v/>
      </c>
      <c r="I282" s="12">
        <f>IF($G282="正常",$H282/60,"")</f>
        <v/>
      </c>
      <c r="J282" s="13">
        <f>IF($G282="正常",ROUND($H282/30,0)/2,"")</f>
        <v/>
      </c>
      <c r="K282" s="13">
        <f>IF($G282="正常",MIN($J282,12),"")</f>
        <v/>
      </c>
      <c r="L282" s="13">
        <f>IF($G282="正常",MAX($J282-12,0),"")</f>
        <v/>
      </c>
    </row>
    <row r="283">
      <c r="A283" s="3" t="inlineStr">
        <is>
          <t>蹇泽会</t>
        </is>
      </c>
      <c r="B283" s="3" t="inlineStr">
        <is>
          <t>8/3</t>
        </is>
      </c>
      <c r="C283" s="3" t="inlineStr">
        <is>
          <t>一</t>
        </is>
      </c>
      <c r="D283" s="3" t="inlineStr">
        <is>
          <t>08:24 15:30</t>
        </is>
      </c>
      <c r="E283" s="4" t="n">
        <v>0.35</v>
      </c>
      <c r="F283" s="4" t="n">
        <v>0.6458333333333334</v>
      </c>
      <c r="G283" s="3">
        <f>IF($E283="","空卡",IF($F283="","单卡","正常"))</f>
        <v/>
      </c>
      <c r="H283" s="5">
        <f>IF($G283="正常",ROUND(($F283-$E283)*1440,0),"")</f>
        <v/>
      </c>
      <c r="I283" s="6">
        <f>IF($G283="正常",$H283/60,"")</f>
        <v/>
      </c>
      <c r="J283" s="7">
        <f>IF($G283="正常",ROUND($H283/30,0)/2,"")</f>
        <v/>
      </c>
      <c r="K283" s="7">
        <f>IF($G283="正常",MIN($J283,12),"")</f>
        <v/>
      </c>
      <c r="L283" s="7">
        <f>IF($G283="正常",MAX($J283-12,0),"")</f>
        <v/>
      </c>
    </row>
    <row r="284">
      <c r="A284" s="3" t="inlineStr">
        <is>
          <t>蹇泽会</t>
        </is>
      </c>
      <c r="B284" s="3" t="inlineStr">
        <is>
          <t>8/4</t>
        </is>
      </c>
      <c r="C284" s="3" t="inlineStr">
        <is>
          <t>二</t>
        </is>
      </c>
      <c r="D284" s="3" t="inlineStr">
        <is>
          <t>08:38 19:33</t>
        </is>
      </c>
      <c r="E284" s="4" t="n">
        <v>0.3597222222222222</v>
      </c>
      <c r="F284" s="4" t="n">
        <v>0.8145833333333333</v>
      </c>
      <c r="G284" s="3">
        <f>IF($E284="","空卡",IF($F284="","单卡","正常"))</f>
        <v/>
      </c>
      <c r="H284" s="5">
        <f>IF($G284="正常",ROUND(($F284-$E284)*1440,0),"")</f>
        <v/>
      </c>
      <c r="I284" s="6">
        <f>IF($G284="正常",$H284/60,"")</f>
        <v/>
      </c>
      <c r="J284" s="7">
        <f>IF($G284="正常",ROUND($H284/30,0)/2,"")</f>
        <v/>
      </c>
      <c r="K284" s="7">
        <f>IF($G284="正常",MIN($J284,12),"")</f>
        <v/>
      </c>
      <c r="L284" s="7">
        <f>IF($G284="正常",MAX($J284-12,0),"")</f>
        <v/>
      </c>
    </row>
    <row r="285">
      <c r="A285" s="3" t="inlineStr">
        <is>
          <t>蹇泽会</t>
        </is>
      </c>
      <c r="B285" s="3" t="inlineStr">
        <is>
          <t>8/5</t>
        </is>
      </c>
      <c r="C285" s="3" t="inlineStr">
        <is>
          <t>三</t>
        </is>
      </c>
      <c r="D285" s="3" t="inlineStr">
        <is>
          <t>09:48 19:36</t>
        </is>
      </c>
      <c r="E285" s="4" t="n">
        <v>0.4083333333333333</v>
      </c>
      <c r="F285" s="4" t="n">
        <v>0.8166666666666667</v>
      </c>
      <c r="G285" s="3">
        <f>IF($E285="","空卡",IF($F285="","单卡","正常"))</f>
        <v/>
      </c>
      <c r="H285" s="5">
        <f>IF($G285="正常",ROUND(($F285-$E285)*1440,0),"")</f>
        <v/>
      </c>
      <c r="I285" s="6">
        <f>IF($G285="正常",$H285/60,"")</f>
        <v/>
      </c>
      <c r="J285" s="7">
        <f>IF($G285="正常",ROUND($H285/30,0)/2,"")</f>
        <v/>
      </c>
      <c r="K285" s="7">
        <f>IF($G285="正常",MIN($J285,12),"")</f>
        <v/>
      </c>
      <c r="L285" s="7">
        <f>IF($G285="正常",MAX($J285-12,0),"")</f>
        <v/>
      </c>
    </row>
    <row r="286">
      <c r="A286" s="3" t="inlineStr">
        <is>
          <t>蹇泽会</t>
        </is>
      </c>
      <c r="B286" s="3" t="inlineStr">
        <is>
          <t>8/6</t>
        </is>
      </c>
      <c r="C286" s="3" t="inlineStr">
        <is>
          <t>四</t>
        </is>
      </c>
      <c r="D286" s="3" t="inlineStr">
        <is>
          <t>08:54 19:01</t>
        </is>
      </c>
      <c r="E286" s="4" t="n">
        <v>0.3708333333333333</v>
      </c>
      <c r="F286" s="4" t="n">
        <v>0.7923611111111111</v>
      </c>
      <c r="G286" s="3">
        <f>IF($E286="","空卡",IF($F286="","单卡","正常"))</f>
        <v/>
      </c>
      <c r="H286" s="5">
        <f>IF($G286="正常",ROUND(($F286-$E286)*1440,0),"")</f>
        <v/>
      </c>
      <c r="I286" s="6">
        <f>IF($G286="正常",$H286/60,"")</f>
        <v/>
      </c>
      <c r="J286" s="7">
        <f>IF($G286="正常",ROUND($H286/30,0)/2,"")</f>
        <v/>
      </c>
      <c r="K286" s="7">
        <f>IF($G286="正常",MIN($J286,12),"")</f>
        <v/>
      </c>
      <c r="L286" s="7">
        <f>IF($G286="正常",MAX($J286-12,0),"")</f>
        <v/>
      </c>
    </row>
    <row r="287">
      <c r="A287" s="8" t="inlineStr">
        <is>
          <t>蹇泽会</t>
        </is>
      </c>
      <c r="B287" s="8" t="inlineStr">
        <is>
          <t>8/7</t>
        </is>
      </c>
      <c r="C287" s="8" t="inlineStr">
        <is>
          <t>五</t>
        </is>
      </c>
      <c r="D287" s="8" t="inlineStr"/>
      <c r="E287" s="9" t="n"/>
      <c r="F287" s="9" t="n"/>
      <c r="G287" s="10">
        <f>IF($E287="","空卡",IF($F287="","单卡","正常"))</f>
        <v/>
      </c>
      <c r="H287" s="11">
        <f>IF($G287="正常",ROUND(($F287-$E287)*1440,0),"")</f>
        <v/>
      </c>
      <c r="I287" s="12">
        <f>IF($G287="正常",$H287/60,"")</f>
        <v/>
      </c>
      <c r="J287" s="13">
        <f>IF($G287="正常",ROUND($H287/30,0)/2,"")</f>
        <v/>
      </c>
      <c r="K287" s="13">
        <f>IF($G287="正常",MIN($J287,12),"")</f>
        <v/>
      </c>
      <c r="L287" s="13">
        <f>IF($G287="正常",MAX($J287-12,0),"")</f>
        <v/>
      </c>
    </row>
    <row r="288">
      <c r="A288" s="8" t="inlineStr">
        <is>
          <t>蹇泽会</t>
        </is>
      </c>
      <c r="B288" s="8" t="inlineStr">
        <is>
          <t>8/8</t>
        </is>
      </c>
      <c r="C288" s="8" t="inlineStr">
        <is>
          <t>六</t>
        </is>
      </c>
      <c r="D288" s="8" t="inlineStr"/>
      <c r="E288" s="9" t="n"/>
      <c r="F288" s="9" t="n"/>
      <c r="G288" s="10">
        <f>IF($E288="","空卡",IF($F288="","单卡","正常"))</f>
        <v/>
      </c>
      <c r="H288" s="11">
        <f>IF($G288="正常",ROUND(($F288-$E288)*1440,0),"")</f>
        <v/>
      </c>
      <c r="I288" s="12">
        <f>IF($G288="正常",$H288/60,"")</f>
        <v/>
      </c>
      <c r="J288" s="13">
        <f>IF($G288="正常",ROUND($H288/30,0)/2,"")</f>
        <v/>
      </c>
      <c r="K288" s="13">
        <f>IF($G288="正常",MIN($J288,12),"")</f>
        <v/>
      </c>
      <c r="L288" s="13">
        <f>IF($G288="正常",MAX($J288-12,0),"")</f>
        <v/>
      </c>
    </row>
    <row r="289">
      <c r="A289" s="8" t="inlineStr">
        <is>
          <t>蹇泽会</t>
        </is>
      </c>
      <c r="B289" s="8" t="inlineStr">
        <is>
          <t>8/9</t>
        </is>
      </c>
      <c r="C289" s="8" t="inlineStr">
        <is>
          <t>日</t>
        </is>
      </c>
      <c r="D289" s="8" t="inlineStr"/>
      <c r="E289" s="9" t="n"/>
      <c r="F289" s="9" t="n"/>
      <c r="G289" s="10">
        <f>IF($E289="","空卡",IF($F289="","单卡","正常"))</f>
        <v/>
      </c>
      <c r="H289" s="11">
        <f>IF($G289="正常",ROUND(($F289-$E289)*1440,0),"")</f>
        <v/>
      </c>
      <c r="I289" s="12">
        <f>IF($G289="正常",$H289/60,"")</f>
        <v/>
      </c>
      <c r="J289" s="13">
        <f>IF($G289="正常",ROUND($H289/30,0)/2,"")</f>
        <v/>
      </c>
      <c r="K289" s="13">
        <f>IF($G289="正常",MIN($J289,12),"")</f>
        <v/>
      </c>
      <c r="L289" s="13">
        <f>IF($G289="正常",MAX($J289-12,0),"")</f>
        <v/>
      </c>
    </row>
    <row r="290">
      <c r="A290" s="3" t="inlineStr">
        <is>
          <t>蹇泽会</t>
        </is>
      </c>
      <c r="B290" s="3" t="inlineStr">
        <is>
          <t>8/10</t>
        </is>
      </c>
      <c r="C290" s="3" t="inlineStr">
        <is>
          <t>一</t>
        </is>
      </c>
      <c r="D290" s="3" t="inlineStr">
        <is>
          <t>08:21 19:55</t>
        </is>
      </c>
      <c r="E290" s="4" t="n">
        <v>0.3479166666666667</v>
      </c>
      <c r="F290" s="4" t="n">
        <v>0.8298611111111112</v>
      </c>
      <c r="G290" s="3">
        <f>IF($E290="","空卡",IF($F290="","单卡","正常"))</f>
        <v/>
      </c>
      <c r="H290" s="5">
        <f>IF($G290="正常",ROUND(($F290-$E290)*1440,0),"")</f>
        <v/>
      </c>
      <c r="I290" s="6">
        <f>IF($G290="正常",$H290/60,"")</f>
        <v/>
      </c>
      <c r="J290" s="7">
        <f>IF($G290="正常",ROUND($H290/30,0)/2,"")</f>
        <v/>
      </c>
      <c r="K290" s="7">
        <f>IF($G290="正常",MIN($J290,12),"")</f>
        <v/>
      </c>
      <c r="L290" s="7">
        <f>IF($G290="正常",MAX($J290-12,0),"")</f>
        <v/>
      </c>
    </row>
    <row r="291">
      <c r="A291" s="3" t="inlineStr">
        <is>
          <t>蹇泽会</t>
        </is>
      </c>
      <c r="B291" s="3" t="inlineStr">
        <is>
          <t>8/11</t>
        </is>
      </c>
      <c r="C291" s="3" t="inlineStr">
        <is>
          <t>二</t>
        </is>
      </c>
      <c r="D291" s="3" t="inlineStr">
        <is>
          <t>08:16 18:06</t>
        </is>
      </c>
      <c r="E291" s="4" t="n">
        <v>0.3444444444444444</v>
      </c>
      <c r="F291" s="4" t="n">
        <v>0.7541666666666667</v>
      </c>
      <c r="G291" s="3">
        <f>IF($E291="","空卡",IF($F291="","单卡","正常"))</f>
        <v/>
      </c>
      <c r="H291" s="5">
        <f>IF($G291="正常",ROUND(($F291-$E291)*1440,0),"")</f>
        <v/>
      </c>
      <c r="I291" s="6">
        <f>IF($G291="正常",$H291/60,"")</f>
        <v/>
      </c>
      <c r="J291" s="7">
        <f>IF($G291="正常",ROUND($H291/30,0)/2,"")</f>
        <v/>
      </c>
      <c r="K291" s="7">
        <f>IF($G291="正常",MIN($J291,12),"")</f>
        <v/>
      </c>
      <c r="L291" s="7">
        <f>IF($G291="正常",MAX($J291-12,0),"")</f>
        <v/>
      </c>
    </row>
    <row r="292">
      <c r="A292" s="3" t="inlineStr">
        <is>
          <t>蹇泽会</t>
        </is>
      </c>
      <c r="B292" s="3" t="inlineStr">
        <is>
          <t>8/12</t>
        </is>
      </c>
      <c r="C292" s="3" t="inlineStr">
        <is>
          <t>三</t>
        </is>
      </c>
      <c r="D292" s="3" t="inlineStr">
        <is>
          <t>09:36 18:34</t>
        </is>
      </c>
      <c r="E292" s="4" t="n">
        <v>0.4</v>
      </c>
      <c r="F292" s="4" t="n">
        <v>0.7736111111111111</v>
      </c>
      <c r="G292" s="3">
        <f>IF($E292="","空卡",IF($F292="","单卡","正常"))</f>
        <v/>
      </c>
      <c r="H292" s="5">
        <f>IF($G292="正常",ROUND(($F292-$E292)*1440,0),"")</f>
        <v/>
      </c>
      <c r="I292" s="6">
        <f>IF($G292="正常",$H292/60,"")</f>
        <v/>
      </c>
      <c r="J292" s="7">
        <f>IF($G292="正常",ROUND($H292/30,0)/2,"")</f>
        <v/>
      </c>
      <c r="K292" s="7">
        <f>IF($G292="正常",MIN($J292,12),"")</f>
        <v/>
      </c>
      <c r="L292" s="7">
        <f>IF($G292="正常",MAX($J292-12,0),"")</f>
        <v/>
      </c>
    </row>
    <row r="293">
      <c r="A293" s="3" t="inlineStr">
        <is>
          <t>蹇泽会</t>
        </is>
      </c>
      <c r="B293" s="3" t="inlineStr">
        <is>
          <t>8/13</t>
        </is>
      </c>
      <c r="C293" s="3" t="inlineStr">
        <is>
          <t>四</t>
        </is>
      </c>
      <c r="D293" s="3" t="inlineStr">
        <is>
          <t>08:19 19:00</t>
        </is>
      </c>
      <c r="E293" s="4" t="n">
        <v>0.3465277777777778</v>
      </c>
      <c r="F293" s="4" t="n">
        <v>0.7916666666666666</v>
      </c>
      <c r="G293" s="3">
        <f>IF($E293="","空卡",IF($F293="","单卡","正常"))</f>
        <v/>
      </c>
      <c r="H293" s="5">
        <f>IF($G293="正常",ROUND(($F293-$E293)*1440,0),"")</f>
        <v/>
      </c>
      <c r="I293" s="6">
        <f>IF($G293="正常",$H293/60,"")</f>
        <v/>
      </c>
      <c r="J293" s="7">
        <f>IF($G293="正常",ROUND($H293/30,0)/2,"")</f>
        <v/>
      </c>
      <c r="K293" s="7">
        <f>IF($G293="正常",MIN($J293,12),"")</f>
        <v/>
      </c>
      <c r="L293" s="7">
        <f>IF($G293="正常",MAX($J293-12,0),"")</f>
        <v/>
      </c>
    </row>
    <row r="294">
      <c r="A294" s="8" t="inlineStr">
        <is>
          <t>蹇泽会</t>
        </is>
      </c>
      <c r="B294" s="8" t="inlineStr">
        <is>
          <t>8/14</t>
        </is>
      </c>
      <c r="C294" s="8" t="inlineStr">
        <is>
          <t>五</t>
        </is>
      </c>
      <c r="D294" s="8" t="inlineStr"/>
      <c r="E294" s="9" t="n"/>
      <c r="F294" s="9" t="n"/>
      <c r="G294" s="10">
        <f>IF($E294="","空卡",IF($F294="","单卡","正常"))</f>
        <v/>
      </c>
      <c r="H294" s="11">
        <f>IF($G294="正常",ROUND(($F294-$E294)*1440,0),"")</f>
        <v/>
      </c>
      <c r="I294" s="12">
        <f>IF($G294="正常",$H294/60,"")</f>
        <v/>
      </c>
      <c r="J294" s="13">
        <f>IF($G294="正常",ROUND($H294/30,0)/2,"")</f>
        <v/>
      </c>
      <c r="K294" s="13">
        <f>IF($G294="正常",MIN($J294,12),"")</f>
        <v/>
      </c>
      <c r="L294" s="13">
        <f>IF($G294="正常",MAX($J294-12,0),"")</f>
        <v/>
      </c>
    </row>
    <row r="295">
      <c r="A295" s="8" t="inlineStr">
        <is>
          <t>蹇泽会</t>
        </is>
      </c>
      <c r="B295" s="8" t="inlineStr">
        <is>
          <t>8/15</t>
        </is>
      </c>
      <c r="C295" s="8" t="inlineStr">
        <is>
          <t>六</t>
        </is>
      </c>
      <c r="D295" s="8" t="inlineStr"/>
      <c r="E295" s="9" t="n"/>
      <c r="F295" s="9" t="n"/>
      <c r="G295" s="10">
        <f>IF($E295="","空卡",IF($F295="","单卡","正常"))</f>
        <v/>
      </c>
      <c r="H295" s="11">
        <f>IF($G295="正常",ROUND(($F295-$E295)*1440,0),"")</f>
        <v/>
      </c>
      <c r="I295" s="12">
        <f>IF($G295="正常",$H295/60,"")</f>
        <v/>
      </c>
      <c r="J295" s="13">
        <f>IF($G295="正常",ROUND($H295/30,0)/2,"")</f>
        <v/>
      </c>
      <c r="K295" s="13">
        <f>IF($G295="正常",MIN($J295,12),"")</f>
        <v/>
      </c>
      <c r="L295" s="13">
        <f>IF($G295="正常",MAX($J295-12,0),"")</f>
        <v/>
      </c>
    </row>
    <row r="296">
      <c r="A296" s="8" t="inlineStr">
        <is>
          <t>蹇泽会</t>
        </is>
      </c>
      <c r="B296" s="8" t="inlineStr">
        <is>
          <t>8/16</t>
        </is>
      </c>
      <c r="C296" s="8" t="inlineStr">
        <is>
          <t>日</t>
        </is>
      </c>
      <c r="D296" s="8" t="inlineStr"/>
      <c r="E296" s="9" t="n"/>
      <c r="F296" s="9" t="n"/>
      <c r="G296" s="10">
        <f>IF($E296="","空卡",IF($F296="","单卡","正常"))</f>
        <v/>
      </c>
      <c r="H296" s="11">
        <f>IF($G296="正常",ROUND(($F296-$E296)*1440,0),"")</f>
        <v/>
      </c>
      <c r="I296" s="12">
        <f>IF($G296="正常",$H296/60,"")</f>
        <v/>
      </c>
      <c r="J296" s="13">
        <f>IF($G296="正常",ROUND($H296/30,0)/2,"")</f>
        <v/>
      </c>
      <c r="K296" s="13">
        <f>IF($G296="正常",MIN($J296,12),"")</f>
        <v/>
      </c>
      <c r="L296" s="13">
        <f>IF($G296="正常",MAX($J296-12,0),"")</f>
        <v/>
      </c>
    </row>
    <row r="297">
      <c r="A297" s="3" t="inlineStr">
        <is>
          <t>蹇泽会</t>
        </is>
      </c>
      <c r="B297" s="3" t="inlineStr">
        <is>
          <t>8/17</t>
        </is>
      </c>
      <c r="C297" s="3" t="inlineStr">
        <is>
          <t>一</t>
        </is>
      </c>
      <c r="D297" s="3" t="inlineStr">
        <is>
          <t>07:54 19:56</t>
        </is>
      </c>
      <c r="E297" s="4" t="n">
        <v>0.3291666666666667</v>
      </c>
      <c r="F297" s="4" t="n">
        <v>0.8305555555555556</v>
      </c>
      <c r="G297" s="3">
        <f>IF($E297="","空卡",IF($F297="","单卡","正常"))</f>
        <v/>
      </c>
      <c r="H297" s="5">
        <f>IF($G297="正常",ROUND(($F297-$E297)*1440,0),"")</f>
        <v/>
      </c>
      <c r="I297" s="6">
        <f>IF($G297="正常",$H297/60,"")</f>
        <v/>
      </c>
      <c r="J297" s="7">
        <f>IF($G297="正常",ROUND($H297/30,0)/2,"")</f>
        <v/>
      </c>
      <c r="K297" s="7">
        <f>IF($G297="正常",MIN($J297,12),"")</f>
        <v/>
      </c>
      <c r="L297" s="7">
        <f>IF($G297="正常",MAX($J297-12,0),"")</f>
        <v/>
      </c>
    </row>
    <row r="298">
      <c r="A298" s="3" t="inlineStr">
        <is>
          <t>蹇泽会</t>
        </is>
      </c>
      <c r="B298" s="3" t="inlineStr">
        <is>
          <t>8/18</t>
        </is>
      </c>
      <c r="C298" s="3" t="inlineStr">
        <is>
          <t>二</t>
        </is>
      </c>
      <c r="D298" s="3" t="inlineStr">
        <is>
          <t>07:55 19:00</t>
        </is>
      </c>
      <c r="E298" s="4" t="n">
        <v>0.3298611111111111</v>
      </c>
      <c r="F298" s="4" t="n">
        <v>0.7916666666666666</v>
      </c>
      <c r="G298" s="3">
        <f>IF($E298="","空卡",IF($F298="","单卡","正常"))</f>
        <v/>
      </c>
      <c r="H298" s="5">
        <f>IF($G298="正常",ROUND(($F298-$E298)*1440,0),"")</f>
        <v/>
      </c>
      <c r="I298" s="6">
        <f>IF($G298="正常",$H298/60,"")</f>
        <v/>
      </c>
      <c r="J298" s="7">
        <f>IF($G298="正常",ROUND($H298/30,0)/2,"")</f>
        <v/>
      </c>
      <c r="K298" s="7">
        <f>IF($G298="正常",MIN($J298,12),"")</f>
        <v/>
      </c>
      <c r="L298" s="7">
        <f>IF($G298="正常",MAX($J298-12,0),"")</f>
        <v/>
      </c>
    </row>
    <row r="299">
      <c r="A299" s="3" t="inlineStr">
        <is>
          <t>蹇泽会</t>
        </is>
      </c>
      <c r="B299" s="3" t="inlineStr">
        <is>
          <t>8/19</t>
        </is>
      </c>
      <c r="C299" s="3" t="inlineStr">
        <is>
          <t>三</t>
        </is>
      </c>
      <c r="D299" s="3" t="inlineStr">
        <is>
          <t>07:21 20:30</t>
        </is>
      </c>
      <c r="E299" s="4" t="n">
        <v>0.30625</v>
      </c>
      <c r="F299" s="4" t="n">
        <v>0.8541666666666666</v>
      </c>
      <c r="G299" s="3">
        <f>IF($E299="","空卡",IF($F299="","单卡","正常"))</f>
        <v/>
      </c>
      <c r="H299" s="5">
        <f>IF($G299="正常",ROUND(($F299-$E299)*1440,0),"")</f>
        <v/>
      </c>
      <c r="I299" s="6">
        <f>IF($G299="正常",$H299/60,"")</f>
        <v/>
      </c>
      <c r="J299" s="7">
        <f>IF($G299="正常",ROUND($H299/30,0)/2,"")</f>
        <v/>
      </c>
      <c r="K299" s="7">
        <f>IF($G299="正常",MIN($J299,12),"")</f>
        <v/>
      </c>
      <c r="L299" s="7">
        <f>IF($G299="正常",MAX($J299-12,0),"")</f>
        <v/>
      </c>
    </row>
    <row r="300">
      <c r="A300" s="8" t="inlineStr">
        <is>
          <t>蹇泽会</t>
        </is>
      </c>
      <c r="B300" s="8" t="inlineStr">
        <is>
          <t>8/20</t>
        </is>
      </c>
      <c r="C300" s="8" t="inlineStr">
        <is>
          <t>四</t>
        </is>
      </c>
      <c r="D300" s="8" t="inlineStr"/>
      <c r="E300" s="9" t="n"/>
      <c r="F300" s="9" t="n"/>
      <c r="G300" s="10">
        <f>IF($E300="","空卡",IF($F300="","单卡","正常"))</f>
        <v/>
      </c>
      <c r="H300" s="11">
        <f>IF($G300="正常",ROUND(($F300-$E300)*1440,0),"")</f>
        <v/>
      </c>
      <c r="I300" s="12">
        <f>IF($G300="正常",$H300/60,"")</f>
        <v/>
      </c>
      <c r="J300" s="13">
        <f>IF($G300="正常",ROUND($H300/30,0)/2,"")</f>
        <v/>
      </c>
      <c r="K300" s="13">
        <f>IF($G300="正常",MIN($J300,12),"")</f>
        <v/>
      </c>
      <c r="L300" s="13">
        <f>IF($G300="正常",MAX($J300-12,0),"")</f>
        <v/>
      </c>
    </row>
    <row r="301">
      <c r="A301" s="8" t="inlineStr">
        <is>
          <t>蹇泽会</t>
        </is>
      </c>
      <c r="B301" s="8" t="inlineStr">
        <is>
          <t>8/21</t>
        </is>
      </c>
      <c r="C301" s="8" t="inlineStr">
        <is>
          <t>五</t>
        </is>
      </c>
      <c r="D301" s="8" t="inlineStr"/>
      <c r="E301" s="9" t="n"/>
      <c r="F301" s="9" t="n"/>
      <c r="G301" s="10">
        <f>IF($E301="","空卡",IF($F301="","单卡","正常"))</f>
        <v/>
      </c>
      <c r="H301" s="11">
        <f>IF($G301="正常",ROUND(($F301-$E301)*1440,0),"")</f>
        <v/>
      </c>
      <c r="I301" s="12">
        <f>IF($G301="正常",$H301/60,"")</f>
        <v/>
      </c>
      <c r="J301" s="13">
        <f>IF($G301="正常",ROUND($H301/30,0)/2,"")</f>
        <v/>
      </c>
      <c r="K301" s="13">
        <f>IF($G301="正常",MIN($J301,12),"")</f>
        <v/>
      </c>
      <c r="L301" s="13">
        <f>IF($G301="正常",MAX($J301-12,0),"")</f>
        <v/>
      </c>
    </row>
    <row r="302">
      <c r="A302" s="8" t="inlineStr">
        <is>
          <t>蹇泽会</t>
        </is>
      </c>
      <c r="B302" s="8" t="inlineStr">
        <is>
          <t>8/22</t>
        </is>
      </c>
      <c r="C302" s="8" t="inlineStr">
        <is>
          <t>六</t>
        </is>
      </c>
      <c r="D302" s="8" t="inlineStr"/>
      <c r="E302" s="9" t="n"/>
      <c r="F302" s="9" t="n"/>
      <c r="G302" s="10">
        <f>IF($E302="","空卡",IF($F302="","单卡","正常"))</f>
        <v/>
      </c>
      <c r="H302" s="11">
        <f>IF($G302="正常",ROUND(($F302-$E302)*1440,0),"")</f>
        <v/>
      </c>
      <c r="I302" s="12">
        <f>IF($G302="正常",$H302/60,"")</f>
        <v/>
      </c>
      <c r="J302" s="13">
        <f>IF($G302="正常",ROUND($H302/30,0)/2,"")</f>
        <v/>
      </c>
      <c r="K302" s="13">
        <f>IF($G302="正常",MIN($J302,12),"")</f>
        <v/>
      </c>
      <c r="L302" s="13">
        <f>IF($G302="正常",MAX($J302-12,0),"")</f>
        <v/>
      </c>
    </row>
    <row r="303">
      <c r="A303" s="8" t="inlineStr">
        <is>
          <t>蹇泽会</t>
        </is>
      </c>
      <c r="B303" s="8" t="inlineStr">
        <is>
          <t>8/23</t>
        </is>
      </c>
      <c r="C303" s="8" t="inlineStr">
        <is>
          <t>日</t>
        </is>
      </c>
      <c r="D303" s="8" t="inlineStr"/>
      <c r="E303" s="9" t="n"/>
      <c r="F303" s="9" t="n"/>
      <c r="G303" s="10">
        <f>IF($E303="","空卡",IF($F303="","单卡","正常"))</f>
        <v/>
      </c>
      <c r="H303" s="11">
        <f>IF($G303="正常",ROUND(($F303-$E303)*1440,0),"")</f>
        <v/>
      </c>
      <c r="I303" s="12">
        <f>IF($G303="正常",$H303/60,"")</f>
        <v/>
      </c>
      <c r="J303" s="13">
        <f>IF($G303="正常",ROUND($H303/30,0)/2,"")</f>
        <v/>
      </c>
      <c r="K303" s="13">
        <f>IF($G303="正常",MIN($J303,12),"")</f>
        <v/>
      </c>
      <c r="L303" s="13">
        <f>IF($G303="正常",MAX($J303-12,0),"")</f>
        <v/>
      </c>
    </row>
    <row r="304">
      <c r="A304" s="3" t="inlineStr">
        <is>
          <t>蹇泽会</t>
        </is>
      </c>
      <c r="B304" s="3" t="inlineStr">
        <is>
          <t>8/24</t>
        </is>
      </c>
      <c r="C304" s="3" t="inlineStr">
        <is>
          <t>一</t>
        </is>
      </c>
      <c r="D304" s="3" t="inlineStr">
        <is>
          <t>06:57 16:37</t>
        </is>
      </c>
      <c r="E304" s="4" t="n">
        <v>0.2895833333333334</v>
      </c>
      <c r="F304" s="4" t="n">
        <v>0.6923611111111111</v>
      </c>
      <c r="G304" s="3">
        <f>IF($E304="","空卡",IF($F304="","单卡","正常"))</f>
        <v/>
      </c>
      <c r="H304" s="5">
        <f>IF($G304="正常",ROUND(($F304-$E304)*1440,0),"")</f>
        <v/>
      </c>
      <c r="I304" s="6">
        <f>IF($G304="正常",$H304/60,"")</f>
        <v/>
      </c>
      <c r="J304" s="7">
        <f>IF($G304="正常",ROUND($H304/30,0)/2,"")</f>
        <v/>
      </c>
      <c r="K304" s="7">
        <f>IF($G304="正常",MIN($J304,12),"")</f>
        <v/>
      </c>
      <c r="L304" s="7">
        <f>IF($G304="正常",MAX($J304-12,0),"")</f>
        <v/>
      </c>
    </row>
    <row r="305">
      <c r="A305" s="3" t="inlineStr">
        <is>
          <t>蹇泽会</t>
        </is>
      </c>
      <c r="B305" s="3" t="inlineStr">
        <is>
          <t>8/25</t>
        </is>
      </c>
      <c r="C305" s="3" t="inlineStr">
        <is>
          <t>二</t>
        </is>
      </c>
      <c r="D305" s="3" t="inlineStr">
        <is>
          <t>08:33 18:37</t>
        </is>
      </c>
      <c r="E305" s="4" t="n">
        <v>0.35625</v>
      </c>
      <c r="F305" s="4" t="n">
        <v>0.7756944444444445</v>
      </c>
      <c r="G305" s="3">
        <f>IF($E305="","空卡",IF($F305="","单卡","正常"))</f>
        <v/>
      </c>
      <c r="H305" s="5">
        <f>IF($G305="正常",ROUND(($F305-$E305)*1440,0),"")</f>
        <v/>
      </c>
      <c r="I305" s="6">
        <f>IF($G305="正常",$H305/60,"")</f>
        <v/>
      </c>
      <c r="J305" s="7">
        <f>IF($G305="正常",ROUND($H305/30,0)/2,"")</f>
        <v/>
      </c>
      <c r="K305" s="7">
        <f>IF($G305="正常",MIN($J305,12),"")</f>
        <v/>
      </c>
      <c r="L305" s="7">
        <f>IF($G305="正常",MAX($J305-12,0),"")</f>
        <v/>
      </c>
    </row>
    <row r="306">
      <c r="A306" s="3" t="inlineStr">
        <is>
          <t>蹇泽会</t>
        </is>
      </c>
      <c r="B306" s="3" t="inlineStr">
        <is>
          <t>8/26</t>
        </is>
      </c>
      <c r="C306" s="3" t="inlineStr">
        <is>
          <t>三</t>
        </is>
      </c>
      <c r="D306" s="3" t="inlineStr">
        <is>
          <t>07:53 18:59</t>
        </is>
      </c>
      <c r="E306" s="4" t="n">
        <v>0.3284722222222222</v>
      </c>
      <c r="F306" s="4" t="n">
        <v>0.7909722222222222</v>
      </c>
      <c r="G306" s="3">
        <f>IF($E306="","空卡",IF($F306="","单卡","正常"))</f>
        <v/>
      </c>
      <c r="H306" s="5">
        <f>IF($G306="正常",ROUND(($F306-$E306)*1440,0),"")</f>
        <v/>
      </c>
      <c r="I306" s="6">
        <f>IF($G306="正常",$H306/60,"")</f>
        <v/>
      </c>
      <c r="J306" s="7">
        <f>IF($G306="正常",ROUND($H306/30,0)/2,"")</f>
        <v/>
      </c>
      <c r="K306" s="7">
        <f>IF($G306="正常",MIN($J306,12),"")</f>
        <v/>
      </c>
      <c r="L306" s="7">
        <f>IF($G306="正常",MAX($J306-12,0),"")</f>
        <v/>
      </c>
    </row>
    <row r="307">
      <c r="A307" s="3" t="inlineStr">
        <is>
          <t>蹇泽会</t>
        </is>
      </c>
      <c r="B307" s="3" t="inlineStr">
        <is>
          <t>8/27</t>
        </is>
      </c>
      <c r="C307" s="3" t="inlineStr">
        <is>
          <t>四</t>
        </is>
      </c>
      <c r="D307" s="3" t="inlineStr">
        <is>
          <t>07:53 19:03</t>
        </is>
      </c>
      <c r="E307" s="4" t="n">
        <v>0.3284722222222222</v>
      </c>
      <c r="F307" s="4" t="n">
        <v>0.79375</v>
      </c>
      <c r="G307" s="3">
        <f>IF($E307="","空卡",IF($F307="","单卡","正常"))</f>
        <v/>
      </c>
      <c r="H307" s="5">
        <f>IF($G307="正常",ROUND(($F307-$E307)*1440,0),"")</f>
        <v/>
      </c>
      <c r="I307" s="6">
        <f>IF($G307="正常",$H307/60,"")</f>
        <v/>
      </c>
      <c r="J307" s="7">
        <f>IF($G307="正常",ROUND($H307/30,0)/2,"")</f>
        <v/>
      </c>
      <c r="K307" s="7">
        <f>IF($G307="正常",MIN($J307,12),"")</f>
        <v/>
      </c>
      <c r="L307" s="7">
        <f>IF($G307="正常",MAX($J307-12,0),"")</f>
        <v/>
      </c>
    </row>
    <row r="308">
      <c r="A308" s="8" t="inlineStr">
        <is>
          <t>蹇泽会</t>
        </is>
      </c>
      <c r="B308" s="8" t="inlineStr">
        <is>
          <t>8/28</t>
        </is>
      </c>
      <c r="C308" s="8" t="inlineStr">
        <is>
          <t>五</t>
        </is>
      </c>
      <c r="D308" s="8" t="inlineStr"/>
      <c r="E308" s="9" t="n"/>
      <c r="F308" s="9" t="n"/>
      <c r="G308" s="10">
        <f>IF($E308="","空卡",IF($F308="","单卡","正常"))</f>
        <v/>
      </c>
      <c r="H308" s="11">
        <f>IF($G308="正常",ROUND(($F308-$E308)*1440,0),"")</f>
        <v/>
      </c>
      <c r="I308" s="12">
        <f>IF($G308="正常",$H308/60,"")</f>
        <v/>
      </c>
      <c r="J308" s="13">
        <f>IF($G308="正常",ROUND($H308/30,0)/2,"")</f>
        <v/>
      </c>
      <c r="K308" s="13">
        <f>IF($G308="正常",MIN($J308,12),"")</f>
        <v/>
      </c>
      <c r="L308" s="13">
        <f>IF($G308="正常",MAX($J308-12,0),"")</f>
        <v/>
      </c>
    </row>
    <row r="309">
      <c r="A309" s="8" t="inlineStr">
        <is>
          <t>蹇泽会</t>
        </is>
      </c>
      <c r="B309" s="8" t="inlineStr">
        <is>
          <t>8/29</t>
        </is>
      </c>
      <c r="C309" s="8" t="inlineStr">
        <is>
          <t>六</t>
        </is>
      </c>
      <c r="D309" s="8" t="inlineStr"/>
      <c r="E309" s="9" t="n"/>
      <c r="F309" s="9" t="n"/>
      <c r="G309" s="10">
        <f>IF($E309="","空卡",IF($F309="","单卡","正常"))</f>
        <v/>
      </c>
      <c r="H309" s="11">
        <f>IF($G309="正常",ROUND(($F309-$E309)*1440,0),"")</f>
        <v/>
      </c>
      <c r="I309" s="12">
        <f>IF($G309="正常",$H309/60,"")</f>
        <v/>
      </c>
      <c r="J309" s="13">
        <f>IF($G309="正常",ROUND($H309/30,0)/2,"")</f>
        <v/>
      </c>
      <c r="K309" s="13">
        <f>IF($G309="正常",MIN($J309,12),"")</f>
        <v/>
      </c>
      <c r="L309" s="13">
        <f>IF($G309="正常",MAX($J309-12,0),"")</f>
        <v/>
      </c>
    </row>
    <row r="310">
      <c r="A310" s="8" t="inlineStr">
        <is>
          <t>蹇泽会</t>
        </is>
      </c>
      <c r="B310" s="8" t="inlineStr">
        <is>
          <t>8/30</t>
        </is>
      </c>
      <c r="C310" s="8" t="inlineStr">
        <is>
          <t>日</t>
        </is>
      </c>
      <c r="D310" s="8" t="inlineStr"/>
      <c r="E310" s="9" t="n"/>
      <c r="F310" s="9" t="n"/>
      <c r="G310" s="10">
        <f>IF($E310="","空卡",IF($F310="","单卡","正常"))</f>
        <v/>
      </c>
      <c r="H310" s="11">
        <f>IF($G310="正常",ROUND(($F310-$E310)*1440,0),"")</f>
        <v/>
      </c>
      <c r="I310" s="12">
        <f>IF($G310="正常",$H310/60,"")</f>
        <v/>
      </c>
      <c r="J310" s="13">
        <f>IF($G310="正常",ROUND($H310/30,0)/2,"")</f>
        <v/>
      </c>
      <c r="K310" s="13">
        <f>IF($G310="正常",MIN($J310,12),"")</f>
        <v/>
      </c>
      <c r="L310" s="13">
        <f>IF($G310="正常",MAX($J310-12,0),"")</f>
        <v/>
      </c>
    </row>
    <row r="311">
      <c r="A311" s="8" t="inlineStr">
        <is>
          <t>蹇泽会</t>
        </is>
      </c>
      <c r="B311" s="8" t="inlineStr">
        <is>
          <t>8/31</t>
        </is>
      </c>
      <c r="C311" s="8" t="inlineStr">
        <is>
          <t>一</t>
        </is>
      </c>
      <c r="D311" s="8" t="inlineStr"/>
      <c r="E311" s="9" t="n"/>
      <c r="F311" s="9" t="n"/>
      <c r="G311" s="10">
        <f>IF($E311="","空卡",IF($F311="","单卡","正常"))</f>
        <v/>
      </c>
      <c r="H311" s="11">
        <f>IF($G311="正常",ROUND(($F311-$E311)*1440,0),"")</f>
        <v/>
      </c>
      <c r="I311" s="12">
        <f>IF($G311="正常",$H311/60,"")</f>
        <v/>
      </c>
      <c r="J311" s="13">
        <f>IF($G311="正常",ROUND($H311/30,0)/2,"")</f>
        <v/>
      </c>
      <c r="K311" s="13">
        <f>IF($G311="正常",MIN($J311,12),"")</f>
        <v/>
      </c>
      <c r="L311" s="13">
        <f>IF($G311="正常",MAX($J311-12,0),"")</f>
        <v/>
      </c>
    </row>
    <row r="312">
      <c r="A312" s="3" t="inlineStr">
        <is>
          <t>沈俊维</t>
        </is>
      </c>
      <c r="B312" s="3" t="inlineStr">
        <is>
          <t>8/1</t>
        </is>
      </c>
      <c r="C312" s="3" t="inlineStr">
        <is>
          <t>六</t>
        </is>
      </c>
      <c r="D312" s="3" t="inlineStr">
        <is>
          <t>07:59 17:03</t>
        </is>
      </c>
      <c r="E312" s="4" t="n">
        <v>0.3326388888888889</v>
      </c>
      <c r="F312" s="4" t="n">
        <v>0.7104166666666667</v>
      </c>
      <c r="G312" s="3">
        <f>IF($E312="","空卡",IF($F312="","单卡","正常"))</f>
        <v/>
      </c>
      <c r="H312" s="5">
        <f>IF($G312="正常",ROUND(($F312-$E312)*1440,0),"")</f>
        <v/>
      </c>
      <c r="I312" s="6">
        <f>IF($G312="正常",$H312/60,"")</f>
        <v/>
      </c>
      <c r="J312" s="7">
        <f>IF($G312="正常",ROUND($H312/30,0)/2,"")</f>
        <v/>
      </c>
      <c r="K312" s="7">
        <f>IF($G312="正常",MIN($J312,12),"")</f>
        <v/>
      </c>
      <c r="L312" s="7">
        <f>IF($G312="正常",MAX($J312-12,0),"")</f>
        <v/>
      </c>
    </row>
    <row r="313">
      <c r="A313" s="3" t="inlineStr">
        <is>
          <t>沈俊维</t>
        </is>
      </c>
      <c r="B313" s="3" t="inlineStr">
        <is>
          <t>8/2</t>
        </is>
      </c>
      <c r="C313" s="3" t="inlineStr">
        <is>
          <t>日</t>
        </is>
      </c>
      <c r="D313" s="3" t="inlineStr">
        <is>
          <t>07:55 14:58</t>
        </is>
      </c>
      <c r="E313" s="4" t="n">
        <v>0.3298611111111111</v>
      </c>
      <c r="F313" s="4" t="n">
        <v>0.6236111111111111</v>
      </c>
      <c r="G313" s="3">
        <f>IF($E313="","空卡",IF($F313="","单卡","正常"))</f>
        <v/>
      </c>
      <c r="H313" s="5">
        <f>IF($G313="正常",ROUND(($F313-$E313)*1440,0),"")</f>
        <v/>
      </c>
      <c r="I313" s="6">
        <f>IF($G313="正常",$H313/60,"")</f>
        <v/>
      </c>
      <c r="J313" s="7">
        <f>IF($G313="正常",ROUND($H313/30,0)/2,"")</f>
        <v/>
      </c>
      <c r="K313" s="7">
        <f>IF($G313="正常",MIN($J313,12),"")</f>
        <v/>
      </c>
      <c r="L313" s="7">
        <f>IF($G313="正常",MAX($J313-12,0),"")</f>
        <v/>
      </c>
    </row>
    <row r="314">
      <c r="A314" s="3" t="inlineStr">
        <is>
          <t>沈俊维</t>
        </is>
      </c>
      <c r="B314" s="3" t="inlineStr">
        <is>
          <t>8/3</t>
        </is>
      </c>
      <c r="C314" s="3" t="inlineStr">
        <is>
          <t>一</t>
        </is>
      </c>
      <c r="D314" s="3" t="inlineStr">
        <is>
          <t>08:27 15:30</t>
        </is>
      </c>
      <c r="E314" s="4" t="n">
        <v>0.3520833333333334</v>
      </c>
      <c r="F314" s="4" t="n">
        <v>0.6458333333333334</v>
      </c>
      <c r="G314" s="3">
        <f>IF($E314="","空卡",IF($F314="","单卡","正常"))</f>
        <v/>
      </c>
      <c r="H314" s="5">
        <f>IF($G314="正常",ROUND(($F314-$E314)*1440,0),"")</f>
        <v/>
      </c>
      <c r="I314" s="6">
        <f>IF($G314="正常",$H314/60,"")</f>
        <v/>
      </c>
      <c r="J314" s="7">
        <f>IF($G314="正常",ROUND($H314/30,0)/2,"")</f>
        <v/>
      </c>
      <c r="K314" s="7">
        <f>IF($G314="正常",MIN($J314,12),"")</f>
        <v/>
      </c>
      <c r="L314" s="7">
        <f>IF($G314="正常",MAX($J314-12,0),"")</f>
        <v/>
      </c>
    </row>
    <row r="315">
      <c r="A315" s="3" t="inlineStr">
        <is>
          <t>沈俊维</t>
        </is>
      </c>
      <c r="B315" s="3" t="inlineStr">
        <is>
          <t>8/4</t>
        </is>
      </c>
      <c r="C315" s="3" t="inlineStr">
        <is>
          <t>二</t>
        </is>
      </c>
      <c r="D315" s="3" t="inlineStr">
        <is>
          <t>08:55 19:32</t>
        </is>
      </c>
      <c r="E315" s="4" t="n">
        <v>0.3715277777777778</v>
      </c>
      <c r="F315" s="4" t="n">
        <v>0.8138888888888889</v>
      </c>
      <c r="G315" s="3">
        <f>IF($E315="","空卡",IF($F315="","单卡","正常"))</f>
        <v/>
      </c>
      <c r="H315" s="5">
        <f>IF($G315="正常",ROUND(($F315-$E315)*1440,0),"")</f>
        <v/>
      </c>
      <c r="I315" s="6">
        <f>IF($G315="正常",$H315/60,"")</f>
        <v/>
      </c>
      <c r="J315" s="7">
        <f>IF($G315="正常",ROUND($H315/30,0)/2,"")</f>
        <v/>
      </c>
      <c r="K315" s="7">
        <f>IF($G315="正常",MIN($J315,12),"")</f>
        <v/>
      </c>
      <c r="L315" s="7">
        <f>IF($G315="正常",MAX($J315-12,0),"")</f>
        <v/>
      </c>
    </row>
    <row r="316">
      <c r="A316" s="3" t="inlineStr">
        <is>
          <t>沈俊维</t>
        </is>
      </c>
      <c r="B316" s="3" t="inlineStr">
        <is>
          <t>8/5</t>
        </is>
      </c>
      <c r="C316" s="3" t="inlineStr">
        <is>
          <t>三</t>
        </is>
      </c>
      <c r="D316" s="3" t="inlineStr">
        <is>
          <t>09:48 19:55</t>
        </is>
      </c>
      <c r="E316" s="4" t="n">
        <v>0.4083333333333333</v>
      </c>
      <c r="F316" s="4" t="n">
        <v>0.8298611111111112</v>
      </c>
      <c r="G316" s="3">
        <f>IF($E316="","空卡",IF($F316="","单卡","正常"))</f>
        <v/>
      </c>
      <c r="H316" s="5">
        <f>IF($G316="正常",ROUND(($F316-$E316)*1440,0),"")</f>
        <v/>
      </c>
      <c r="I316" s="6">
        <f>IF($G316="正常",$H316/60,"")</f>
        <v/>
      </c>
      <c r="J316" s="7">
        <f>IF($G316="正常",ROUND($H316/30,0)/2,"")</f>
        <v/>
      </c>
      <c r="K316" s="7">
        <f>IF($G316="正常",MIN($J316,12),"")</f>
        <v/>
      </c>
      <c r="L316" s="7">
        <f>IF($G316="正常",MAX($J316-12,0),"")</f>
        <v/>
      </c>
    </row>
    <row r="317">
      <c r="A317" s="3" t="inlineStr">
        <is>
          <t>沈俊维</t>
        </is>
      </c>
      <c r="B317" s="3" t="inlineStr">
        <is>
          <t>8/6</t>
        </is>
      </c>
      <c r="C317" s="3" t="inlineStr">
        <is>
          <t>四</t>
        </is>
      </c>
      <c r="D317" s="3" t="inlineStr">
        <is>
          <t>08:50 19:01</t>
        </is>
      </c>
      <c r="E317" s="4" t="n">
        <v>0.3680555555555556</v>
      </c>
      <c r="F317" s="4" t="n">
        <v>0.7923611111111111</v>
      </c>
      <c r="G317" s="3">
        <f>IF($E317="","空卡",IF($F317="","单卡","正常"))</f>
        <v/>
      </c>
      <c r="H317" s="5">
        <f>IF($G317="正常",ROUND(($F317-$E317)*1440,0),"")</f>
        <v/>
      </c>
      <c r="I317" s="6">
        <f>IF($G317="正常",$H317/60,"")</f>
        <v/>
      </c>
      <c r="J317" s="7">
        <f>IF($G317="正常",ROUND($H317/30,0)/2,"")</f>
        <v/>
      </c>
      <c r="K317" s="7">
        <f>IF($G317="正常",MIN($J317,12),"")</f>
        <v/>
      </c>
      <c r="L317" s="7">
        <f>IF($G317="正常",MAX($J317-12,0),"")</f>
        <v/>
      </c>
    </row>
    <row r="318">
      <c r="A318" s="8" t="inlineStr">
        <is>
          <t>沈俊维</t>
        </is>
      </c>
      <c r="B318" s="8" t="inlineStr">
        <is>
          <t>8/7</t>
        </is>
      </c>
      <c r="C318" s="8" t="inlineStr">
        <is>
          <t>五</t>
        </is>
      </c>
      <c r="D318" s="8" t="inlineStr"/>
      <c r="E318" s="9" t="n"/>
      <c r="F318" s="9" t="n"/>
      <c r="G318" s="10">
        <f>IF($E318="","空卡",IF($F318="","单卡","正常"))</f>
        <v/>
      </c>
      <c r="H318" s="11">
        <f>IF($G318="正常",ROUND(($F318-$E318)*1440,0),"")</f>
        <v/>
      </c>
      <c r="I318" s="12">
        <f>IF($G318="正常",$H318/60,"")</f>
        <v/>
      </c>
      <c r="J318" s="13">
        <f>IF($G318="正常",ROUND($H318/30,0)/2,"")</f>
        <v/>
      </c>
      <c r="K318" s="13">
        <f>IF($G318="正常",MIN($J318,12),"")</f>
        <v/>
      </c>
      <c r="L318" s="13">
        <f>IF($G318="正常",MAX($J318-12,0),"")</f>
        <v/>
      </c>
    </row>
    <row r="319">
      <c r="A319" s="3" t="inlineStr">
        <is>
          <t>沈俊维</t>
        </is>
      </c>
      <c r="B319" s="3" t="inlineStr">
        <is>
          <t>8/8</t>
        </is>
      </c>
      <c r="C319" s="3" t="inlineStr">
        <is>
          <t>六</t>
        </is>
      </c>
      <c r="D319" s="3" t="inlineStr">
        <is>
          <t>08:25 19:32</t>
        </is>
      </c>
      <c r="E319" s="4" t="n">
        <v>0.3506944444444444</v>
      </c>
      <c r="F319" s="4" t="n">
        <v>0.8138888888888889</v>
      </c>
      <c r="G319" s="3">
        <f>IF($E319="","空卡",IF($F319="","单卡","正常"))</f>
        <v/>
      </c>
      <c r="H319" s="5">
        <f>IF($G319="正常",ROUND(($F319-$E319)*1440,0),"")</f>
        <v/>
      </c>
      <c r="I319" s="6">
        <f>IF($G319="正常",$H319/60,"")</f>
        <v/>
      </c>
      <c r="J319" s="7">
        <f>IF($G319="正常",ROUND($H319/30,0)/2,"")</f>
        <v/>
      </c>
      <c r="K319" s="7">
        <f>IF($G319="正常",MIN($J319,12),"")</f>
        <v/>
      </c>
      <c r="L319" s="7">
        <f>IF($G319="正常",MAX($J319-12,0),"")</f>
        <v/>
      </c>
    </row>
    <row r="320">
      <c r="A320" s="8" t="inlineStr">
        <is>
          <t>沈俊维</t>
        </is>
      </c>
      <c r="B320" s="8" t="inlineStr">
        <is>
          <t>8/9</t>
        </is>
      </c>
      <c r="C320" s="8" t="inlineStr">
        <is>
          <t>日</t>
        </is>
      </c>
      <c r="D320" s="8" t="inlineStr"/>
      <c r="E320" s="9" t="n"/>
      <c r="F320" s="9" t="n"/>
      <c r="G320" s="10">
        <f>IF($E320="","空卡",IF($F320="","单卡","正常"))</f>
        <v/>
      </c>
      <c r="H320" s="11">
        <f>IF($G320="正常",ROUND(($F320-$E320)*1440,0),"")</f>
        <v/>
      </c>
      <c r="I320" s="12">
        <f>IF($G320="正常",$H320/60,"")</f>
        <v/>
      </c>
      <c r="J320" s="13">
        <f>IF($G320="正常",ROUND($H320/30,0)/2,"")</f>
        <v/>
      </c>
      <c r="K320" s="13">
        <f>IF($G320="正常",MIN($J320,12),"")</f>
        <v/>
      </c>
      <c r="L320" s="13">
        <f>IF($G320="正常",MAX($J320-12,0),"")</f>
        <v/>
      </c>
    </row>
    <row r="321">
      <c r="A321" s="3" t="inlineStr">
        <is>
          <t>沈俊维</t>
        </is>
      </c>
      <c r="B321" s="3" t="inlineStr">
        <is>
          <t>8/10</t>
        </is>
      </c>
      <c r="C321" s="3" t="inlineStr">
        <is>
          <t>一</t>
        </is>
      </c>
      <c r="D321" s="3" t="inlineStr">
        <is>
          <t>08:24 19:55</t>
        </is>
      </c>
      <c r="E321" s="4" t="n">
        <v>0.35</v>
      </c>
      <c r="F321" s="4" t="n">
        <v>0.8298611111111112</v>
      </c>
      <c r="G321" s="3">
        <f>IF($E321="","空卡",IF($F321="","单卡","正常"))</f>
        <v/>
      </c>
      <c r="H321" s="5">
        <f>IF($G321="正常",ROUND(($F321-$E321)*1440,0),"")</f>
        <v/>
      </c>
      <c r="I321" s="6">
        <f>IF($G321="正常",$H321/60,"")</f>
        <v/>
      </c>
      <c r="J321" s="7">
        <f>IF($G321="正常",ROUND($H321/30,0)/2,"")</f>
        <v/>
      </c>
      <c r="K321" s="7">
        <f>IF($G321="正常",MIN($J321,12),"")</f>
        <v/>
      </c>
      <c r="L321" s="7">
        <f>IF($G321="正常",MAX($J321-12,0),"")</f>
        <v/>
      </c>
    </row>
    <row r="322">
      <c r="A322" s="3" t="inlineStr">
        <is>
          <t>沈俊维</t>
        </is>
      </c>
      <c r="B322" s="3" t="inlineStr">
        <is>
          <t>8/11</t>
        </is>
      </c>
      <c r="C322" s="3" t="inlineStr">
        <is>
          <t>二</t>
        </is>
      </c>
      <c r="D322" s="3" t="inlineStr">
        <is>
          <t>08:29 18:05</t>
        </is>
      </c>
      <c r="E322" s="4" t="n">
        <v>0.3534722222222222</v>
      </c>
      <c r="F322" s="4" t="n">
        <v>0.7534722222222222</v>
      </c>
      <c r="G322" s="3">
        <f>IF($E322="","空卡",IF($F322="","单卡","正常"))</f>
        <v/>
      </c>
      <c r="H322" s="5">
        <f>IF($G322="正常",ROUND(($F322-$E322)*1440,0),"")</f>
        <v/>
      </c>
      <c r="I322" s="6">
        <f>IF($G322="正常",$H322/60,"")</f>
        <v/>
      </c>
      <c r="J322" s="7">
        <f>IF($G322="正常",ROUND($H322/30,0)/2,"")</f>
        <v/>
      </c>
      <c r="K322" s="7">
        <f>IF($G322="正常",MIN($J322,12),"")</f>
        <v/>
      </c>
      <c r="L322" s="7">
        <f>IF($G322="正常",MAX($J322-12,0),"")</f>
        <v/>
      </c>
    </row>
    <row r="323">
      <c r="A323" s="3" t="inlineStr">
        <is>
          <t>沈俊维</t>
        </is>
      </c>
      <c r="B323" s="3" t="inlineStr">
        <is>
          <t>8/12</t>
        </is>
      </c>
      <c r="C323" s="3" t="inlineStr">
        <is>
          <t>三</t>
        </is>
      </c>
      <c r="D323" s="3" t="inlineStr">
        <is>
          <t>09:53 18:36</t>
        </is>
      </c>
      <c r="E323" s="4" t="n">
        <v>0.4118055555555555</v>
      </c>
      <c r="F323" s="4" t="n">
        <v>0.775</v>
      </c>
      <c r="G323" s="3">
        <f>IF($E323="","空卡",IF($F323="","单卡","正常"))</f>
        <v/>
      </c>
      <c r="H323" s="5">
        <f>IF($G323="正常",ROUND(($F323-$E323)*1440,0),"")</f>
        <v/>
      </c>
      <c r="I323" s="6">
        <f>IF($G323="正常",$H323/60,"")</f>
        <v/>
      </c>
      <c r="J323" s="7">
        <f>IF($G323="正常",ROUND($H323/30,0)/2,"")</f>
        <v/>
      </c>
      <c r="K323" s="7">
        <f>IF($G323="正常",MIN($J323,12),"")</f>
        <v/>
      </c>
      <c r="L323" s="7">
        <f>IF($G323="正常",MAX($J323-12,0),"")</f>
        <v/>
      </c>
    </row>
    <row r="324">
      <c r="A324" s="3" t="inlineStr">
        <is>
          <t>沈俊维</t>
        </is>
      </c>
      <c r="B324" s="3" t="inlineStr">
        <is>
          <t>8/13</t>
        </is>
      </c>
      <c r="C324" s="3" t="inlineStr">
        <is>
          <t>四</t>
        </is>
      </c>
      <c r="D324" s="3" t="inlineStr">
        <is>
          <t>09:56 19:01</t>
        </is>
      </c>
      <c r="E324" s="4" t="n">
        <v>0.4138888888888889</v>
      </c>
      <c r="F324" s="4" t="n">
        <v>0.7923611111111111</v>
      </c>
      <c r="G324" s="3">
        <f>IF($E324="","空卡",IF($F324="","单卡","正常"))</f>
        <v/>
      </c>
      <c r="H324" s="5">
        <f>IF($G324="正常",ROUND(($F324-$E324)*1440,0),"")</f>
        <v/>
      </c>
      <c r="I324" s="6">
        <f>IF($G324="正常",$H324/60,"")</f>
        <v/>
      </c>
      <c r="J324" s="7">
        <f>IF($G324="正常",ROUND($H324/30,0)/2,"")</f>
        <v/>
      </c>
      <c r="K324" s="7">
        <f>IF($G324="正常",MIN($J324,12),"")</f>
        <v/>
      </c>
      <c r="L324" s="7">
        <f>IF($G324="正常",MAX($J324-12,0),"")</f>
        <v/>
      </c>
    </row>
    <row r="325">
      <c r="A325" s="3" t="inlineStr">
        <is>
          <t>沈俊维</t>
        </is>
      </c>
      <c r="B325" s="3" t="inlineStr">
        <is>
          <t>8/14</t>
        </is>
      </c>
      <c r="C325" s="3" t="inlineStr">
        <is>
          <t>五</t>
        </is>
      </c>
      <c r="D325" s="3" t="inlineStr">
        <is>
          <t>07:21 21:04</t>
        </is>
      </c>
      <c r="E325" s="4" t="n">
        <v>0.30625</v>
      </c>
      <c r="F325" s="4" t="n">
        <v>0.8777777777777778</v>
      </c>
      <c r="G325" s="3">
        <f>IF($E325="","空卡",IF($F325="","单卡","正常"))</f>
        <v/>
      </c>
      <c r="H325" s="5">
        <f>IF($G325="正常",ROUND(($F325-$E325)*1440,0),"")</f>
        <v/>
      </c>
      <c r="I325" s="6">
        <f>IF($G325="正常",$H325/60,"")</f>
        <v/>
      </c>
      <c r="J325" s="7">
        <f>IF($G325="正常",ROUND($H325/30,0)/2,"")</f>
        <v/>
      </c>
      <c r="K325" s="7">
        <f>IF($G325="正常",MIN($J325,12),"")</f>
        <v/>
      </c>
      <c r="L325" s="7">
        <f>IF($G325="正常",MAX($J325-12,0),"")</f>
        <v/>
      </c>
    </row>
    <row r="326">
      <c r="A326" s="3" t="inlineStr">
        <is>
          <t>沈俊维</t>
        </is>
      </c>
      <c r="B326" s="3" t="inlineStr">
        <is>
          <t>8/15</t>
        </is>
      </c>
      <c r="C326" s="3" t="inlineStr">
        <is>
          <t>六</t>
        </is>
      </c>
      <c r="D326" s="3" t="inlineStr">
        <is>
          <t>06:56 19:03</t>
        </is>
      </c>
      <c r="E326" s="4" t="n">
        <v>0.2888888888888889</v>
      </c>
      <c r="F326" s="4" t="n">
        <v>0.79375</v>
      </c>
      <c r="G326" s="3">
        <f>IF($E326="","空卡",IF($F326="","单卡","正常"))</f>
        <v/>
      </c>
      <c r="H326" s="5">
        <f>IF($G326="正常",ROUND(($F326-$E326)*1440,0),"")</f>
        <v/>
      </c>
      <c r="I326" s="6">
        <f>IF($G326="正常",$H326/60,"")</f>
        <v/>
      </c>
      <c r="J326" s="7">
        <f>IF($G326="正常",ROUND($H326/30,0)/2,"")</f>
        <v/>
      </c>
      <c r="K326" s="7">
        <f>IF($G326="正常",MIN($J326,12),"")</f>
        <v/>
      </c>
      <c r="L326" s="7">
        <f>IF($G326="正常",MAX($J326-12,0),"")</f>
        <v/>
      </c>
    </row>
    <row r="327">
      <c r="A327" s="8" t="inlineStr">
        <is>
          <t>沈俊维</t>
        </is>
      </c>
      <c r="B327" s="8" t="inlineStr">
        <is>
          <t>8/16</t>
        </is>
      </c>
      <c r="C327" s="8" t="inlineStr">
        <is>
          <t>日</t>
        </is>
      </c>
      <c r="D327" s="8" t="inlineStr"/>
      <c r="E327" s="9" t="n"/>
      <c r="F327" s="9" t="n"/>
      <c r="G327" s="10">
        <f>IF($E327="","空卡",IF($F327="","单卡","正常"))</f>
        <v/>
      </c>
      <c r="H327" s="11">
        <f>IF($G327="正常",ROUND(($F327-$E327)*1440,0),"")</f>
        <v/>
      </c>
      <c r="I327" s="12">
        <f>IF($G327="正常",$H327/60,"")</f>
        <v/>
      </c>
      <c r="J327" s="13">
        <f>IF($G327="正常",ROUND($H327/30,0)/2,"")</f>
        <v/>
      </c>
      <c r="K327" s="13">
        <f>IF($G327="正常",MIN($J327,12),"")</f>
        <v/>
      </c>
      <c r="L327" s="13">
        <f>IF($G327="正常",MAX($J327-12,0),"")</f>
        <v/>
      </c>
    </row>
    <row r="328">
      <c r="A328" s="3" t="inlineStr">
        <is>
          <t>沈俊维</t>
        </is>
      </c>
      <c r="B328" s="3" t="inlineStr">
        <is>
          <t>8/17</t>
        </is>
      </c>
      <c r="C328" s="3" t="inlineStr">
        <is>
          <t>一</t>
        </is>
      </c>
      <c r="D328" s="3" t="inlineStr">
        <is>
          <t>07:58 19:58</t>
        </is>
      </c>
      <c r="E328" s="4" t="n">
        <v>0.3319444444444444</v>
      </c>
      <c r="F328" s="4" t="n">
        <v>0.8319444444444445</v>
      </c>
      <c r="G328" s="3">
        <f>IF($E328="","空卡",IF($F328="","单卡","正常"))</f>
        <v/>
      </c>
      <c r="H328" s="5">
        <f>IF($G328="正常",ROUND(($F328-$E328)*1440,0),"")</f>
        <v/>
      </c>
      <c r="I328" s="6">
        <f>IF($G328="正常",$H328/60,"")</f>
        <v/>
      </c>
      <c r="J328" s="7">
        <f>IF($G328="正常",ROUND($H328/30,0)/2,"")</f>
        <v/>
      </c>
      <c r="K328" s="7">
        <f>IF($G328="正常",MIN($J328,12),"")</f>
        <v/>
      </c>
      <c r="L328" s="7">
        <f>IF($G328="正常",MAX($J328-12,0),"")</f>
        <v/>
      </c>
    </row>
    <row r="329">
      <c r="A329" s="3" t="inlineStr">
        <is>
          <t>沈俊维</t>
        </is>
      </c>
      <c r="B329" s="3" t="inlineStr">
        <is>
          <t>8/18</t>
        </is>
      </c>
      <c r="C329" s="3" t="inlineStr">
        <is>
          <t>二</t>
        </is>
      </c>
      <c r="D329" s="3" t="inlineStr">
        <is>
          <t>07:55 18:55</t>
        </is>
      </c>
      <c r="E329" s="4" t="n">
        <v>0.3298611111111111</v>
      </c>
      <c r="F329" s="4" t="n">
        <v>0.7881944444444444</v>
      </c>
      <c r="G329" s="3">
        <f>IF($E329="","空卡",IF($F329="","单卡","正常"))</f>
        <v/>
      </c>
      <c r="H329" s="5">
        <f>IF($G329="正常",ROUND(($F329-$E329)*1440,0),"")</f>
        <v/>
      </c>
      <c r="I329" s="6">
        <f>IF($G329="正常",$H329/60,"")</f>
        <v/>
      </c>
      <c r="J329" s="7">
        <f>IF($G329="正常",ROUND($H329/30,0)/2,"")</f>
        <v/>
      </c>
      <c r="K329" s="7">
        <f>IF($G329="正常",MIN($J329,12),"")</f>
        <v/>
      </c>
      <c r="L329" s="7">
        <f>IF($G329="正常",MAX($J329-12,0),"")</f>
        <v/>
      </c>
    </row>
    <row r="330">
      <c r="A330" s="3" t="inlineStr">
        <is>
          <t>沈俊维</t>
        </is>
      </c>
      <c r="B330" s="3" t="inlineStr">
        <is>
          <t>8/19</t>
        </is>
      </c>
      <c r="C330" s="3" t="inlineStr">
        <is>
          <t>三</t>
        </is>
      </c>
      <c r="D330" s="3" t="inlineStr">
        <is>
          <t>08:59 20:29</t>
        </is>
      </c>
      <c r="E330" s="4" t="n">
        <v>0.3743055555555556</v>
      </c>
      <c r="F330" s="4" t="n">
        <v>0.8534722222222222</v>
      </c>
      <c r="G330" s="3">
        <f>IF($E330="","空卡",IF($F330="","单卡","正常"))</f>
        <v/>
      </c>
      <c r="H330" s="5">
        <f>IF($G330="正常",ROUND(($F330-$E330)*1440,0),"")</f>
        <v/>
      </c>
      <c r="I330" s="6">
        <f>IF($G330="正常",$H330/60,"")</f>
        <v/>
      </c>
      <c r="J330" s="7">
        <f>IF($G330="正常",ROUND($H330/30,0)/2,"")</f>
        <v/>
      </c>
      <c r="K330" s="7">
        <f>IF($G330="正常",MIN($J330,12),"")</f>
        <v/>
      </c>
      <c r="L330" s="7">
        <f>IF($G330="正常",MAX($J330-12,0),"")</f>
        <v/>
      </c>
    </row>
    <row r="331">
      <c r="A331" s="8" t="inlineStr">
        <is>
          <t>沈俊维</t>
        </is>
      </c>
      <c r="B331" s="8" t="inlineStr">
        <is>
          <t>8/20</t>
        </is>
      </c>
      <c r="C331" s="8" t="inlineStr">
        <is>
          <t>四</t>
        </is>
      </c>
      <c r="D331" s="8" t="inlineStr"/>
      <c r="E331" s="9" t="n"/>
      <c r="F331" s="9" t="n"/>
      <c r="G331" s="10">
        <f>IF($E331="","空卡",IF($F331="","单卡","正常"))</f>
        <v/>
      </c>
      <c r="H331" s="11">
        <f>IF($G331="正常",ROUND(($F331-$E331)*1440,0),"")</f>
        <v/>
      </c>
      <c r="I331" s="12">
        <f>IF($G331="正常",$H331/60,"")</f>
        <v/>
      </c>
      <c r="J331" s="13">
        <f>IF($G331="正常",ROUND($H331/30,0)/2,"")</f>
        <v/>
      </c>
      <c r="K331" s="13">
        <f>IF($G331="正常",MIN($J331,12),"")</f>
        <v/>
      </c>
      <c r="L331" s="13">
        <f>IF($G331="正常",MAX($J331-12,0),"")</f>
        <v/>
      </c>
    </row>
    <row r="332">
      <c r="A332" s="3" t="inlineStr">
        <is>
          <t>沈俊维</t>
        </is>
      </c>
      <c r="B332" s="3" t="inlineStr">
        <is>
          <t>8/21</t>
        </is>
      </c>
      <c r="C332" s="3" t="inlineStr">
        <is>
          <t>五</t>
        </is>
      </c>
      <c r="D332" s="3" t="inlineStr">
        <is>
          <t>06:56 19:02</t>
        </is>
      </c>
      <c r="E332" s="4" t="n">
        <v>0.2888888888888889</v>
      </c>
      <c r="F332" s="4" t="n">
        <v>0.7930555555555555</v>
      </c>
      <c r="G332" s="3">
        <f>IF($E332="","空卡",IF($F332="","单卡","正常"))</f>
        <v/>
      </c>
      <c r="H332" s="5">
        <f>IF($G332="正常",ROUND(($F332-$E332)*1440,0),"")</f>
        <v/>
      </c>
      <c r="I332" s="6">
        <f>IF($G332="正常",$H332/60,"")</f>
        <v/>
      </c>
      <c r="J332" s="7">
        <f>IF($G332="正常",ROUND($H332/30,0)/2,"")</f>
        <v/>
      </c>
      <c r="K332" s="7">
        <f>IF($G332="正常",MIN($J332,12),"")</f>
        <v/>
      </c>
      <c r="L332" s="7">
        <f>IF($G332="正常",MAX($J332-12,0),"")</f>
        <v/>
      </c>
    </row>
    <row r="333">
      <c r="A333" s="3" t="inlineStr">
        <is>
          <t>沈俊维</t>
        </is>
      </c>
      <c r="B333" s="3" t="inlineStr">
        <is>
          <t>8/22</t>
        </is>
      </c>
      <c r="C333" s="3" t="inlineStr">
        <is>
          <t>六</t>
        </is>
      </c>
      <c r="D333" s="3" t="inlineStr">
        <is>
          <t>06:59 18:29</t>
        </is>
      </c>
      <c r="E333" s="4" t="n">
        <v>0.2909722222222222</v>
      </c>
      <c r="F333" s="4" t="n">
        <v>0.7701388888888889</v>
      </c>
      <c r="G333" s="3">
        <f>IF($E333="","空卡",IF($F333="","单卡","正常"))</f>
        <v/>
      </c>
      <c r="H333" s="5">
        <f>IF($G333="正常",ROUND(($F333-$E333)*1440,0),"")</f>
        <v/>
      </c>
      <c r="I333" s="6">
        <f>IF($G333="正常",$H333/60,"")</f>
        <v/>
      </c>
      <c r="J333" s="7">
        <f>IF($G333="正常",ROUND($H333/30,0)/2,"")</f>
        <v/>
      </c>
      <c r="K333" s="7">
        <f>IF($G333="正常",MIN($J333,12),"")</f>
        <v/>
      </c>
      <c r="L333" s="7">
        <f>IF($G333="正常",MAX($J333-12,0),"")</f>
        <v/>
      </c>
    </row>
    <row r="334">
      <c r="A334" s="8" t="inlineStr">
        <is>
          <t>沈俊维</t>
        </is>
      </c>
      <c r="B334" s="8" t="inlineStr">
        <is>
          <t>8/23</t>
        </is>
      </c>
      <c r="C334" s="8" t="inlineStr">
        <is>
          <t>日</t>
        </is>
      </c>
      <c r="D334" s="8" t="inlineStr"/>
      <c r="E334" s="9" t="n"/>
      <c r="F334" s="9" t="n"/>
      <c r="G334" s="10">
        <f>IF($E334="","空卡",IF($F334="","单卡","正常"))</f>
        <v/>
      </c>
      <c r="H334" s="11">
        <f>IF($G334="正常",ROUND(($F334-$E334)*1440,0),"")</f>
        <v/>
      </c>
      <c r="I334" s="12">
        <f>IF($G334="正常",$H334/60,"")</f>
        <v/>
      </c>
      <c r="J334" s="13">
        <f>IF($G334="正常",ROUND($H334/30,0)/2,"")</f>
        <v/>
      </c>
      <c r="K334" s="13">
        <f>IF($G334="正常",MIN($J334,12),"")</f>
        <v/>
      </c>
      <c r="L334" s="13">
        <f>IF($G334="正常",MAX($J334-12,0),"")</f>
        <v/>
      </c>
    </row>
    <row r="335">
      <c r="A335" s="3" t="inlineStr">
        <is>
          <t>沈俊维</t>
        </is>
      </c>
      <c r="B335" s="3" t="inlineStr">
        <is>
          <t>8/24</t>
        </is>
      </c>
      <c r="C335" s="3" t="inlineStr">
        <is>
          <t>一</t>
        </is>
      </c>
      <c r="D335" s="3" t="inlineStr">
        <is>
          <t>06:56 16:36</t>
        </is>
      </c>
      <c r="E335" s="4" t="n">
        <v>0.2888888888888889</v>
      </c>
      <c r="F335" s="4" t="n">
        <v>0.6916666666666667</v>
      </c>
      <c r="G335" s="3">
        <f>IF($E335="","空卡",IF($F335="","单卡","正常"))</f>
        <v/>
      </c>
      <c r="H335" s="5">
        <f>IF($G335="正常",ROUND(($F335-$E335)*1440,0),"")</f>
        <v/>
      </c>
      <c r="I335" s="6">
        <f>IF($G335="正常",$H335/60,"")</f>
        <v/>
      </c>
      <c r="J335" s="7">
        <f>IF($G335="正常",ROUND($H335/30,0)/2,"")</f>
        <v/>
      </c>
      <c r="K335" s="7">
        <f>IF($G335="正常",MIN($J335,12),"")</f>
        <v/>
      </c>
      <c r="L335" s="7">
        <f>IF($G335="正常",MAX($J335-12,0),"")</f>
        <v/>
      </c>
    </row>
    <row r="336">
      <c r="A336" s="8" t="inlineStr">
        <is>
          <t>沈俊维</t>
        </is>
      </c>
      <c r="B336" s="8" t="inlineStr">
        <is>
          <t>8/25</t>
        </is>
      </c>
      <c r="C336" s="8" t="inlineStr">
        <is>
          <t>二</t>
        </is>
      </c>
      <c r="D336" s="8" t="inlineStr"/>
      <c r="E336" s="9" t="n"/>
      <c r="F336" s="9" t="n"/>
      <c r="G336" s="10">
        <f>IF($E336="","空卡",IF($F336="","单卡","正常"))</f>
        <v/>
      </c>
      <c r="H336" s="11">
        <f>IF($G336="正常",ROUND(($F336-$E336)*1440,0),"")</f>
        <v/>
      </c>
      <c r="I336" s="12">
        <f>IF($G336="正常",$H336/60,"")</f>
        <v/>
      </c>
      <c r="J336" s="13">
        <f>IF($G336="正常",ROUND($H336/30,0)/2,"")</f>
        <v/>
      </c>
      <c r="K336" s="13">
        <f>IF($G336="正常",MIN($J336,12),"")</f>
        <v/>
      </c>
      <c r="L336" s="13">
        <f>IF($G336="正常",MAX($J336-12,0),"")</f>
        <v/>
      </c>
    </row>
    <row r="337">
      <c r="A337" s="3" t="inlineStr">
        <is>
          <t>沈俊维</t>
        </is>
      </c>
      <c r="B337" s="3" t="inlineStr">
        <is>
          <t>8/26</t>
        </is>
      </c>
      <c r="C337" s="3" t="inlineStr">
        <is>
          <t>三</t>
        </is>
      </c>
      <c r="D337" s="3" t="inlineStr">
        <is>
          <t>07:56 18:55</t>
        </is>
      </c>
      <c r="E337" s="4" t="n">
        <v>0.3305555555555555</v>
      </c>
      <c r="F337" s="4" t="n">
        <v>0.7881944444444444</v>
      </c>
      <c r="G337" s="3">
        <f>IF($E337="","空卡",IF($F337="","单卡","正常"))</f>
        <v/>
      </c>
      <c r="H337" s="5">
        <f>IF($G337="正常",ROUND(($F337-$E337)*1440,0),"")</f>
        <v/>
      </c>
      <c r="I337" s="6">
        <f>IF($G337="正常",$H337/60,"")</f>
        <v/>
      </c>
      <c r="J337" s="7">
        <f>IF($G337="正常",ROUND($H337/30,0)/2,"")</f>
        <v/>
      </c>
      <c r="K337" s="7">
        <f>IF($G337="正常",MIN($J337,12),"")</f>
        <v/>
      </c>
      <c r="L337" s="7">
        <f>IF($G337="正常",MAX($J337-12,0),"")</f>
        <v/>
      </c>
    </row>
    <row r="338">
      <c r="A338" s="3" t="inlineStr">
        <is>
          <t>沈俊维</t>
        </is>
      </c>
      <c r="B338" s="3" t="inlineStr">
        <is>
          <t>8/27</t>
        </is>
      </c>
      <c r="C338" s="3" t="inlineStr">
        <is>
          <t>四</t>
        </is>
      </c>
      <c r="D338" s="3" t="inlineStr">
        <is>
          <t>07:55 19:08</t>
        </is>
      </c>
      <c r="E338" s="4" t="n">
        <v>0.3298611111111111</v>
      </c>
      <c r="F338" s="4" t="n">
        <v>0.7972222222222223</v>
      </c>
      <c r="G338" s="3">
        <f>IF($E338="","空卡",IF($F338="","单卡","正常"))</f>
        <v/>
      </c>
      <c r="H338" s="5">
        <f>IF($G338="正常",ROUND(($F338-$E338)*1440,0),"")</f>
        <v/>
      </c>
      <c r="I338" s="6">
        <f>IF($G338="正常",$H338/60,"")</f>
        <v/>
      </c>
      <c r="J338" s="7">
        <f>IF($G338="正常",ROUND($H338/30,0)/2,"")</f>
        <v/>
      </c>
      <c r="K338" s="7">
        <f>IF($G338="正常",MIN($J338,12),"")</f>
        <v/>
      </c>
      <c r="L338" s="7">
        <f>IF($G338="正常",MAX($J338-12,0),"")</f>
        <v/>
      </c>
    </row>
    <row r="339">
      <c r="A339" s="3" t="inlineStr">
        <is>
          <t>沈俊维</t>
        </is>
      </c>
      <c r="B339" s="3" t="inlineStr">
        <is>
          <t>8/28</t>
        </is>
      </c>
      <c r="C339" s="3" t="inlineStr">
        <is>
          <t>五</t>
        </is>
      </c>
      <c r="D339" s="3" t="inlineStr">
        <is>
          <t>07:57 18:29</t>
        </is>
      </c>
      <c r="E339" s="4" t="n">
        <v>0.33125</v>
      </c>
      <c r="F339" s="4" t="n">
        <v>0.7701388888888889</v>
      </c>
      <c r="G339" s="3">
        <f>IF($E339="","空卡",IF($F339="","单卡","正常"))</f>
        <v/>
      </c>
      <c r="H339" s="5">
        <f>IF($G339="正常",ROUND(($F339-$E339)*1440,0),"")</f>
        <v/>
      </c>
      <c r="I339" s="6">
        <f>IF($G339="正常",$H339/60,"")</f>
        <v/>
      </c>
      <c r="J339" s="7">
        <f>IF($G339="正常",ROUND($H339/30,0)/2,"")</f>
        <v/>
      </c>
      <c r="K339" s="7">
        <f>IF($G339="正常",MIN($J339,12),"")</f>
        <v/>
      </c>
      <c r="L339" s="7">
        <f>IF($G339="正常",MAX($J339-12,0),"")</f>
        <v/>
      </c>
    </row>
    <row r="340">
      <c r="A340" s="3" t="inlineStr">
        <is>
          <t>沈俊维</t>
        </is>
      </c>
      <c r="B340" s="3" t="inlineStr">
        <is>
          <t>8/29</t>
        </is>
      </c>
      <c r="C340" s="3" t="inlineStr">
        <is>
          <t>六</t>
        </is>
      </c>
      <c r="D340" s="3" t="inlineStr">
        <is>
          <t>07:57 21:58</t>
        </is>
      </c>
      <c r="E340" s="4" t="n">
        <v>0.33125</v>
      </c>
      <c r="F340" s="4" t="n">
        <v>0.9152777777777777</v>
      </c>
      <c r="G340" s="3">
        <f>IF($E340="","空卡",IF($F340="","单卡","正常"))</f>
        <v/>
      </c>
      <c r="H340" s="5">
        <f>IF($G340="正常",ROUND(($F340-$E340)*1440,0),"")</f>
        <v/>
      </c>
      <c r="I340" s="6">
        <f>IF($G340="正常",$H340/60,"")</f>
        <v/>
      </c>
      <c r="J340" s="7">
        <f>IF($G340="正常",ROUND($H340/30,0)/2,"")</f>
        <v/>
      </c>
      <c r="K340" s="7">
        <f>IF($G340="正常",MIN($J340,12),"")</f>
        <v/>
      </c>
      <c r="L340" s="7">
        <f>IF($G340="正常",MAX($J340-12,0),"")</f>
        <v/>
      </c>
    </row>
    <row r="341">
      <c r="A341" s="3" t="inlineStr">
        <is>
          <t>沈俊维</t>
        </is>
      </c>
      <c r="B341" s="3" t="inlineStr">
        <is>
          <t>8/30</t>
        </is>
      </c>
      <c r="C341" s="3" t="inlineStr">
        <is>
          <t>日</t>
        </is>
      </c>
      <c r="D341" s="3" t="inlineStr">
        <is>
          <t>07:55 18:42</t>
        </is>
      </c>
      <c r="E341" s="4" t="n">
        <v>0.3298611111111111</v>
      </c>
      <c r="F341" s="4" t="n">
        <v>0.7791666666666667</v>
      </c>
      <c r="G341" s="3">
        <f>IF($E341="","空卡",IF($F341="","单卡","正常"))</f>
        <v/>
      </c>
      <c r="H341" s="5">
        <f>IF($G341="正常",ROUND(($F341-$E341)*1440,0),"")</f>
        <v/>
      </c>
      <c r="I341" s="6">
        <f>IF($G341="正常",$H341/60,"")</f>
        <v/>
      </c>
      <c r="J341" s="7">
        <f>IF($G341="正常",ROUND($H341/30,0)/2,"")</f>
        <v/>
      </c>
      <c r="K341" s="7">
        <f>IF($G341="正常",MIN($J341,12),"")</f>
        <v/>
      </c>
      <c r="L341" s="7">
        <f>IF($G341="正常",MAX($J341-12,0),"")</f>
        <v/>
      </c>
    </row>
    <row r="342">
      <c r="A342" s="8" t="inlineStr">
        <is>
          <t>沈俊维</t>
        </is>
      </c>
      <c r="B342" s="8" t="inlineStr">
        <is>
          <t>8/31</t>
        </is>
      </c>
      <c r="C342" s="8" t="inlineStr">
        <is>
          <t>一</t>
        </is>
      </c>
      <c r="D342" s="8" t="inlineStr"/>
      <c r="E342" s="9" t="n"/>
      <c r="F342" s="9" t="n"/>
      <c r="G342" s="10">
        <f>IF($E342="","空卡",IF($F342="","单卡","正常"))</f>
        <v/>
      </c>
      <c r="H342" s="11">
        <f>IF($G342="正常",ROUND(($F342-$E342)*1440,0),"")</f>
        <v/>
      </c>
      <c r="I342" s="12">
        <f>IF($G342="正常",$H342/60,"")</f>
        <v/>
      </c>
      <c r="J342" s="13">
        <f>IF($G342="正常",ROUND($H342/30,0)/2,"")</f>
        <v/>
      </c>
      <c r="K342" s="13">
        <f>IF($G342="正常",MIN($J342,12),"")</f>
        <v/>
      </c>
      <c r="L342" s="13">
        <f>IF($G342="正常",MAX($J342-12,0),"")</f>
        <v/>
      </c>
    </row>
    <row r="343">
      <c r="A343" s="8" t="inlineStr">
        <is>
          <t>杨金玉</t>
        </is>
      </c>
      <c r="B343" s="8" t="inlineStr">
        <is>
          <t>8/1</t>
        </is>
      </c>
      <c r="C343" s="8" t="inlineStr">
        <is>
          <t>六</t>
        </is>
      </c>
      <c r="D343" s="8" t="inlineStr"/>
      <c r="E343" s="9" t="n"/>
      <c r="F343" s="9" t="n"/>
      <c r="G343" s="10">
        <f>IF($E343="","空卡",IF($F343="","单卡","正常"))</f>
        <v/>
      </c>
      <c r="H343" s="11">
        <f>IF($G343="正常",ROUND(($F343-$E343)*1440,0),"")</f>
        <v/>
      </c>
      <c r="I343" s="12">
        <f>IF($G343="正常",$H343/60,"")</f>
        <v/>
      </c>
      <c r="J343" s="13">
        <f>IF($G343="正常",ROUND($H343/30,0)/2,"")</f>
        <v/>
      </c>
      <c r="K343" s="13">
        <f>IF($G343="正常",MIN($J343,12),"")</f>
        <v/>
      </c>
      <c r="L343" s="13">
        <f>IF($G343="正常",MAX($J343-12,0),"")</f>
        <v/>
      </c>
    </row>
    <row r="344">
      <c r="A344" s="8" t="inlineStr">
        <is>
          <t>杨金玉</t>
        </is>
      </c>
      <c r="B344" s="8" t="inlineStr">
        <is>
          <t>8/2</t>
        </is>
      </c>
      <c r="C344" s="8" t="inlineStr">
        <is>
          <t>日</t>
        </is>
      </c>
      <c r="D344" s="8" t="inlineStr"/>
      <c r="E344" s="9" t="n"/>
      <c r="F344" s="9" t="n"/>
      <c r="G344" s="10">
        <f>IF($E344="","空卡",IF($F344="","单卡","正常"))</f>
        <v/>
      </c>
      <c r="H344" s="11">
        <f>IF($G344="正常",ROUND(($F344-$E344)*1440,0),"")</f>
        <v/>
      </c>
      <c r="I344" s="12">
        <f>IF($G344="正常",$H344/60,"")</f>
        <v/>
      </c>
      <c r="J344" s="13">
        <f>IF($G344="正常",ROUND($H344/30,0)/2,"")</f>
        <v/>
      </c>
      <c r="K344" s="13">
        <f>IF($G344="正常",MIN($J344,12),"")</f>
        <v/>
      </c>
      <c r="L344" s="13">
        <f>IF($G344="正常",MAX($J344-12,0),"")</f>
        <v/>
      </c>
    </row>
    <row r="345">
      <c r="A345" s="8" t="inlineStr">
        <is>
          <t>杨金玉</t>
        </is>
      </c>
      <c r="B345" s="8" t="inlineStr">
        <is>
          <t>8/3</t>
        </is>
      </c>
      <c r="C345" s="8" t="inlineStr">
        <is>
          <t>一</t>
        </is>
      </c>
      <c r="D345" s="8" t="inlineStr"/>
      <c r="E345" s="9" t="n"/>
      <c r="F345" s="9" t="n"/>
      <c r="G345" s="10">
        <f>IF($E345="","空卡",IF($F345="","单卡","正常"))</f>
        <v/>
      </c>
      <c r="H345" s="11">
        <f>IF($G345="正常",ROUND(($F345-$E345)*1440,0),"")</f>
        <v/>
      </c>
      <c r="I345" s="12">
        <f>IF($G345="正常",$H345/60,"")</f>
        <v/>
      </c>
      <c r="J345" s="13">
        <f>IF($G345="正常",ROUND($H345/30,0)/2,"")</f>
        <v/>
      </c>
      <c r="K345" s="13">
        <f>IF($G345="正常",MIN($J345,12),"")</f>
        <v/>
      </c>
      <c r="L345" s="13">
        <f>IF($G345="正常",MAX($J345-12,0),"")</f>
        <v/>
      </c>
    </row>
    <row r="346">
      <c r="A346" s="3" t="inlineStr">
        <is>
          <t>杨金玉</t>
        </is>
      </c>
      <c r="B346" s="3" t="inlineStr">
        <is>
          <t>8/4</t>
        </is>
      </c>
      <c r="C346" s="3" t="inlineStr">
        <is>
          <t>二</t>
        </is>
      </c>
      <c r="D346" s="3" t="inlineStr">
        <is>
          <t>08:23 19:55</t>
        </is>
      </c>
      <c r="E346" s="4" t="n">
        <v>0.3493055555555555</v>
      </c>
      <c r="F346" s="4" t="n">
        <v>0.8298611111111112</v>
      </c>
      <c r="G346" s="3">
        <f>IF($E346="","空卡",IF($F346="","单卡","正常"))</f>
        <v/>
      </c>
      <c r="H346" s="5">
        <f>IF($G346="正常",ROUND(($F346-$E346)*1440,0),"")</f>
        <v/>
      </c>
      <c r="I346" s="6">
        <f>IF($G346="正常",$H346/60,"")</f>
        <v/>
      </c>
      <c r="J346" s="7">
        <f>IF($G346="正常",ROUND($H346/30,0)/2,"")</f>
        <v/>
      </c>
      <c r="K346" s="7">
        <f>IF($G346="正常",MIN($J346,12),"")</f>
        <v/>
      </c>
      <c r="L346" s="7">
        <f>IF($G346="正常",MAX($J346-12,0),"")</f>
        <v/>
      </c>
    </row>
    <row r="347">
      <c r="A347" s="3" t="inlineStr">
        <is>
          <t>杨金玉</t>
        </is>
      </c>
      <c r="B347" s="3" t="inlineStr">
        <is>
          <t>8/5</t>
        </is>
      </c>
      <c r="C347" s="3" t="inlineStr">
        <is>
          <t>三</t>
        </is>
      </c>
      <c r="D347" s="3" t="inlineStr">
        <is>
          <t>08:05 19:20</t>
        </is>
      </c>
      <c r="E347" s="4" t="n">
        <v>0.3368055555555556</v>
      </c>
      <c r="F347" s="4" t="n">
        <v>0.8055555555555556</v>
      </c>
      <c r="G347" s="3">
        <f>IF($E347="","空卡",IF($F347="","单卡","正常"))</f>
        <v/>
      </c>
      <c r="H347" s="5">
        <f>IF($G347="正常",ROUND(($F347-$E347)*1440,0),"")</f>
        <v/>
      </c>
      <c r="I347" s="6">
        <f>IF($G347="正常",$H347/60,"")</f>
        <v/>
      </c>
      <c r="J347" s="7">
        <f>IF($G347="正常",ROUND($H347/30,0)/2,"")</f>
        <v/>
      </c>
      <c r="K347" s="7">
        <f>IF($G347="正常",MIN($J347,12),"")</f>
        <v/>
      </c>
      <c r="L347" s="7">
        <f>IF($G347="正常",MAX($J347-12,0),"")</f>
        <v/>
      </c>
    </row>
    <row r="348">
      <c r="A348" s="3" t="inlineStr">
        <is>
          <t>杨金玉</t>
        </is>
      </c>
      <c r="B348" s="3" t="inlineStr">
        <is>
          <t>8/6</t>
        </is>
      </c>
      <c r="C348" s="3" t="inlineStr">
        <is>
          <t>四</t>
        </is>
      </c>
      <c r="D348" s="3" t="inlineStr">
        <is>
          <t>07:41 19:58</t>
        </is>
      </c>
      <c r="E348" s="4" t="n">
        <v>0.3201388888888889</v>
      </c>
      <c r="F348" s="4" t="n">
        <v>0.8319444444444445</v>
      </c>
      <c r="G348" s="3">
        <f>IF($E348="","空卡",IF($F348="","单卡","正常"))</f>
        <v/>
      </c>
      <c r="H348" s="5">
        <f>IF($G348="正常",ROUND(($F348-$E348)*1440,0),"")</f>
        <v/>
      </c>
      <c r="I348" s="6">
        <f>IF($G348="正常",$H348/60,"")</f>
        <v/>
      </c>
      <c r="J348" s="7">
        <f>IF($G348="正常",ROUND($H348/30,0)/2,"")</f>
        <v/>
      </c>
      <c r="K348" s="7">
        <f>IF($G348="正常",MIN($J348,12),"")</f>
        <v/>
      </c>
      <c r="L348" s="7">
        <f>IF($G348="正常",MAX($J348-12,0),"")</f>
        <v/>
      </c>
    </row>
    <row r="349">
      <c r="A349" s="3" t="inlineStr">
        <is>
          <t>杨金玉</t>
        </is>
      </c>
      <c r="B349" s="3" t="inlineStr">
        <is>
          <t>8/7</t>
        </is>
      </c>
      <c r="C349" s="3" t="inlineStr">
        <is>
          <t>五</t>
        </is>
      </c>
      <c r="D349" s="3" t="inlineStr">
        <is>
          <t>07:15 19:37</t>
        </is>
      </c>
      <c r="E349" s="4" t="n">
        <v>0.3020833333333333</v>
      </c>
      <c r="F349" s="4" t="n">
        <v>0.8173611111111111</v>
      </c>
      <c r="G349" s="3">
        <f>IF($E349="","空卡",IF($F349="","单卡","正常"))</f>
        <v/>
      </c>
      <c r="H349" s="5">
        <f>IF($G349="正常",ROUND(($F349-$E349)*1440,0),"")</f>
        <v/>
      </c>
      <c r="I349" s="6">
        <f>IF($G349="正常",$H349/60,"")</f>
        <v/>
      </c>
      <c r="J349" s="7">
        <f>IF($G349="正常",ROUND($H349/30,0)/2,"")</f>
        <v/>
      </c>
      <c r="K349" s="7">
        <f>IF($G349="正常",MIN($J349,12),"")</f>
        <v/>
      </c>
      <c r="L349" s="7">
        <f>IF($G349="正常",MAX($J349-12,0),"")</f>
        <v/>
      </c>
    </row>
    <row r="350">
      <c r="A350" s="3" t="inlineStr">
        <is>
          <t>杨金玉</t>
        </is>
      </c>
      <c r="B350" s="3" t="inlineStr">
        <is>
          <t>8/8</t>
        </is>
      </c>
      <c r="C350" s="3" t="inlineStr">
        <is>
          <t>六</t>
        </is>
      </c>
      <c r="D350" s="3" t="inlineStr">
        <is>
          <t>07:03 19:51</t>
        </is>
      </c>
      <c r="E350" s="4" t="n">
        <v>0.29375</v>
      </c>
      <c r="F350" s="4" t="n">
        <v>0.8270833333333333</v>
      </c>
      <c r="G350" s="3">
        <f>IF($E350="","空卡",IF($F350="","单卡","正常"))</f>
        <v/>
      </c>
      <c r="H350" s="5">
        <f>IF($G350="正常",ROUND(($F350-$E350)*1440,0),"")</f>
        <v/>
      </c>
      <c r="I350" s="6">
        <f>IF($G350="正常",$H350/60,"")</f>
        <v/>
      </c>
      <c r="J350" s="7">
        <f>IF($G350="正常",ROUND($H350/30,0)/2,"")</f>
        <v/>
      </c>
      <c r="K350" s="7">
        <f>IF($G350="正常",MIN($J350,12),"")</f>
        <v/>
      </c>
      <c r="L350" s="7">
        <f>IF($G350="正常",MAX($J350-12,0),"")</f>
        <v/>
      </c>
    </row>
    <row r="351">
      <c r="A351" s="8" t="inlineStr">
        <is>
          <t>杨金玉</t>
        </is>
      </c>
      <c r="B351" s="8" t="inlineStr">
        <is>
          <t>8/9</t>
        </is>
      </c>
      <c r="C351" s="8" t="inlineStr">
        <is>
          <t>日</t>
        </is>
      </c>
      <c r="D351" s="8" t="inlineStr"/>
      <c r="E351" s="9" t="n"/>
      <c r="F351" s="9" t="n"/>
      <c r="G351" s="10">
        <f>IF($E351="","空卡",IF($F351="","单卡","正常"))</f>
        <v/>
      </c>
      <c r="H351" s="11">
        <f>IF($G351="正常",ROUND(($F351-$E351)*1440,0),"")</f>
        <v/>
      </c>
      <c r="I351" s="12">
        <f>IF($G351="正常",$H351/60,"")</f>
        <v/>
      </c>
      <c r="J351" s="13">
        <f>IF($G351="正常",ROUND($H351/30,0)/2,"")</f>
        <v/>
      </c>
      <c r="K351" s="13">
        <f>IF($G351="正常",MIN($J351,12),"")</f>
        <v/>
      </c>
      <c r="L351" s="13">
        <f>IF($G351="正常",MAX($J351-12,0),"")</f>
        <v/>
      </c>
    </row>
    <row r="352">
      <c r="A352" s="3" t="inlineStr">
        <is>
          <t>杨金玉</t>
        </is>
      </c>
      <c r="B352" s="3" t="inlineStr">
        <is>
          <t>8/10</t>
        </is>
      </c>
      <c r="C352" s="3" t="inlineStr">
        <is>
          <t>一</t>
        </is>
      </c>
      <c r="D352" s="3" t="inlineStr">
        <is>
          <t>07:09 20:14</t>
        </is>
      </c>
      <c r="E352" s="4" t="n">
        <v>0.2979166666666667</v>
      </c>
      <c r="F352" s="4" t="n">
        <v>0.8430555555555556</v>
      </c>
      <c r="G352" s="3">
        <f>IF($E352="","空卡",IF($F352="","单卡","正常"))</f>
        <v/>
      </c>
      <c r="H352" s="5">
        <f>IF($G352="正常",ROUND(($F352-$E352)*1440,0),"")</f>
        <v/>
      </c>
      <c r="I352" s="6">
        <f>IF($G352="正常",$H352/60,"")</f>
        <v/>
      </c>
      <c r="J352" s="7">
        <f>IF($G352="正常",ROUND($H352/30,0)/2,"")</f>
        <v/>
      </c>
      <c r="K352" s="7">
        <f>IF($G352="正常",MIN($J352,12),"")</f>
        <v/>
      </c>
      <c r="L352" s="7">
        <f>IF($G352="正常",MAX($J352-12,0),"")</f>
        <v/>
      </c>
    </row>
    <row r="353">
      <c r="A353" s="3" t="inlineStr">
        <is>
          <t>杨金玉</t>
        </is>
      </c>
      <c r="B353" s="3" t="inlineStr">
        <is>
          <t>8/11</t>
        </is>
      </c>
      <c r="C353" s="3" t="inlineStr">
        <is>
          <t>二</t>
        </is>
      </c>
      <c r="D353" s="3" t="inlineStr">
        <is>
          <t>07:33 19:29</t>
        </is>
      </c>
      <c r="E353" s="4" t="n">
        <v>0.3145833333333333</v>
      </c>
      <c r="F353" s="4" t="n">
        <v>0.8118055555555556</v>
      </c>
      <c r="G353" s="3">
        <f>IF($E353="","空卡",IF($F353="","单卡","正常"))</f>
        <v/>
      </c>
      <c r="H353" s="5">
        <f>IF($G353="正常",ROUND(($F353-$E353)*1440,0),"")</f>
        <v/>
      </c>
      <c r="I353" s="6">
        <f>IF($G353="正常",$H353/60,"")</f>
        <v/>
      </c>
      <c r="J353" s="7">
        <f>IF($G353="正常",ROUND($H353/30,0)/2,"")</f>
        <v/>
      </c>
      <c r="K353" s="7">
        <f>IF($G353="正常",MIN($J353,12),"")</f>
        <v/>
      </c>
      <c r="L353" s="7">
        <f>IF($G353="正常",MAX($J353-12,0),"")</f>
        <v/>
      </c>
    </row>
    <row r="354">
      <c r="A354" s="3" t="inlineStr">
        <is>
          <t>杨金玉</t>
        </is>
      </c>
      <c r="B354" s="3" t="inlineStr">
        <is>
          <t>8/12</t>
        </is>
      </c>
      <c r="C354" s="3" t="inlineStr">
        <is>
          <t>三</t>
        </is>
      </c>
      <c r="D354" s="3" t="inlineStr">
        <is>
          <t>07:13 19:50</t>
        </is>
      </c>
      <c r="E354" s="4" t="n">
        <v>0.3006944444444444</v>
      </c>
      <c r="F354" s="4" t="n">
        <v>0.8263888888888888</v>
      </c>
      <c r="G354" s="3">
        <f>IF($E354="","空卡",IF($F354="","单卡","正常"))</f>
        <v/>
      </c>
      <c r="H354" s="5">
        <f>IF($G354="正常",ROUND(($F354-$E354)*1440,0),"")</f>
        <v/>
      </c>
      <c r="I354" s="6">
        <f>IF($G354="正常",$H354/60,"")</f>
        <v/>
      </c>
      <c r="J354" s="7">
        <f>IF($G354="正常",ROUND($H354/30,0)/2,"")</f>
        <v/>
      </c>
      <c r="K354" s="7">
        <f>IF($G354="正常",MIN($J354,12),"")</f>
        <v/>
      </c>
      <c r="L354" s="7">
        <f>IF($G354="正常",MAX($J354-12,0),"")</f>
        <v/>
      </c>
    </row>
    <row r="355">
      <c r="A355" s="3" t="inlineStr">
        <is>
          <t>杨金玉</t>
        </is>
      </c>
      <c r="B355" s="3" t="inlineStr">
        <is>
          <t>8/13</t>
        </is>
      </c>
      <c r="C355" s="3" t="inlineStr">
        <is>
          <t>四</t>
        </is>
      </c>
      <c r="D355" s="3" t="inlineStr">
        <is>
          <t>07:29 19:24</t>
        </is>
      </c>
      <c r="E355" s="4" t="n">
        <v>0.3118055555555556</v>
      </c>
      <c r="F355" s="4" t="n">
        <v>0.8083333333333333</v>
      </c>
      <c r="G355" s="3">
        <f>IF($E355="","空卡",IF($F355="","单卡","正常"))</f>
        <v/>
      </c>
      <c r="H355" s="5">
        <f>IF($G355="正常",ROUND(($F355-$E355)*1440,0),"")</f>
        <v/>
      </c>
      <c r="I355" s="6">
        <f>IF($G355="正常",$H355/60,"")</f>
        <v/>
      </c>
      <c r="J355" s="7">
        <f>IF($G355="正常",ROUND($H355/30,0)/2,"")</f>
        <v/>
      </c>
      <c r="K355" s="7">
        <f>IF($G355="正常",MIN($J355,12),"")</f>
        <v/>
      </c>
      <c r="L355" s="7">
        <f>IF($G355="正常",MAX($J355-12,0),"")</f>
        <v/>
      </c>
    </row>
    <row r="356">
      <c r="A356" s="8" t="inlineStr">
        <is>
          <t>杨金玉</t>
        </is>
      </c>
      <c r="B356" s="8" t="inlineStr">
        <is>
          <t>8/14</t>
        </is>
      </c>
      <c r="C356" s="8" t="inlineStr">
        <is>
          <t>五</t>
        </is>
      </c>
      <c r="D356" s="8" t="inlineStr"/>
      <c r="E356" s="9" t="n"/>
      <c r="F356" s="9" t="n"/>
      <c r="G356" s="10">
        <f>IF($E356="","空卡",IF($F356="","单卡","正常"))</f>
        <v/>
      </c>
      <c r="H356" s="11">
        <f>IF($G356="正常",ROUND(($F356-$E356)*1440,0),"")</f>
        <v/>
      </c>
      <c r="I356" s="12">
        <f>IF($G356="正常",$H356/60,"")</f>
        <v/>
      </c>
      <c r="J356" s="13">
        <f>IF($G356="正常",ROUND($H356/30,0)/2,"")</f>
        <v/>
      </c>
      <c r="K356" s="13">
        <f>IF($G356="正常",MIN($J356,12),"")</f>
        <v/>
      </c>
      <c r="L356" s="13">
        <f>IF($G356="正常",MAX($J356-12,0),"")</f>
        <v/>
      </c>
    </row>
    <row r="357">
      <c r="A357" s="8" t="inlineStr">
        <is>
          <t>杨金玉</t>
        </is>
      </c>
      <c r="B357" s="8" t="inlineStr">
        <is>
          <t>8/15</t>
        </is>
      </c>
      <c r="C357" s="8" t="inlineStr">
        <is>
          <t>六</t>
        </is>
      </c>
      <c r="D357" s="8" t="inlineStr"/>
      <c r="E357" s="9" t="n"/>
      <c r="F357" s="9" t="n"/>
      <c r="G357" s="10">
        <f>IF($E357="","空卡",IF($F357="","单卡","正常"))</f>
        <v/>
      </c>
      <c r="H357" s="11">
        <f>IF($G357="正常",ROUND(($F357-$E357)*1440,0),"")</f>
        <v/>
      </c>
      <c r="I357" s="12">
        <f>IF($G357="正常",$H357/60,"")</f>
        <v/>
      </c>
      <c r="J357" s="13">
        <f>IF($G357="正常",ROUND($H357/30,0)/2,"")</f>
        <v/>
      </c>
      <c r="K357" s="13">
        <f>IF($G357="正常",MIN($J357,12),"")</f>
        <v/>
      </c>
      <c r="L357" s="13">
        <f>IF($G357="正常",MAX($J357-12,0),"")</f>
        <v/>
      </c>
    </row>
    <row r="358">
      <c r="A358" s="8" t="inlineStr">
        <is>
          <t>杨金玉</t>
        </is>
      </c>
      <c r="B358" s="8" t="inlineStr">
        <is>
          <t>8/16</t>
        </is>
      </c>
      <c r="C358" s="8" t="inlineStr">
        <is>
          <t>日</t>
        </is>
      </c>
      <c r="D358" s="8" t="inlineStr"/>
      <c r="E358" s="9" t="n"/>
      <c r="F358" s="9" t="n"/>
      <c r="G358" s="10">
        <f>IF($E358="","空卡",IF($F358="","单卡","正常"))</f>
        <v/>
      </c>
      <c r="H358" s="11">
        <f>IF($G358="正常",ROUND(($F358-$E358)*1440,0),"")</f>
        <v/>
      </c>
      <c r="I358" s="12">
        <f>IF($G358="正常",$H358/60,"")</f>
        <v/>
      </c>
      <c r="J358" s="13">
        <f>IF($G358="正常",ROUND($H358/30,0)/2,"")</f>
        <v/>
      </c>
      <c r="K358" s="13">
        <f>IF($G358="正常",MIN($J358,12),"")</f>
        <v/>
      </c>
      <c r="L358" s="13">
        <f>IF($G358="正常",MAX($J358-12,0),"")</f>
        <v/>
      </c>
    </row>
    <row r="359">
      <c r="A359" s="8" t="inlineStr">
        <is>
          <t>杨金玉</t>
        </is>
      </c>
      <c r="B359" s="8" t="inlineStr">
        <is>
          <t>8/17</t>
        </is>
      </c>
      <c r="C359" s="8" t="inlineStr">
        <is>
          <t>一</t>
        </is>
      </c>
      <c r="D359" s="8" t="inlineStr"/>
      <c r="E359" s="9" t="n"/>
      <c r="F359" s="9" t="n"/>
      <c r="G359" s="10">
        <f>IF($E359="","空卡",IF($F359="","单卡","正常"))</f>
        <v/>
      </c>
      <c r="H359" s="11">
        <f>IF($G359="正常",ROUND(($F359-$E359)*1440,0),"")</f>
        <v/>
      </c>
      <c r="I359" s="12">
        <f>IF($G359="正常",$H359/60,"")</f>
        <v/>
      </c>
      <c r="J359" s="13">
        <f>IF($G359="正常",ROUND($H359/30,0)/2,"")</f>
        <v/>
      </c>
      <c r="K359" s="13">
        <f>IF($G359="正常",MIN($J359,12),"")</f>
        <v/>
      </c>
      <c r="L359" s="13">
        <f>IF($G359="正常",MAX($J359-12,0),"")</f>
        <v/>
      </c>
    </row>
    <row r="360">
      <c r="A360" s="8" t="inlineStr">
        <is>
          <t>杨金玉</t>
        </is>
      </c>
      <c r="B360" s="8" t="inlineStr">
        <is>
          <t>8/18</t>
        </is>
      </c>
      <c r="C360" s="8" t="inlineStr">
        <is>
          <t>二</t>
        </is>
      </c>
      <c r="D360" s="8" t="inlineStr"/>
      <c r="E360" s="9" t="n"/>
      <c r="F360" s="9" t="n"/>
      <c r="G360" s="10">
        <f>IF($E360="","空卡",IF($F360="","单卡","正常"))</f>
        <v/>
      </c>
      <c r="H360" s="11">
        <f>IF($G360="正常",ROUND(($F360-$E360)*1440,0),"")</f>
        <v/>
      </c>
      <c r="I360" s="12">
        <f>IF($G360="正常",$H360/60,"")</f>
        <v/>
      </c>
      <c r="J360" s="13">
        <f>IF($G360="正常",ROUND($H360/30,0)/2,"")</f>
        <v/>
      </c>
      <c r="K360" s="13">
        <f>IF($G360="正常",MIN($J360,12),"")</f>
        <v/>
      </c>
      <c r="L360" s="13">
        <f>IF($G360="正常",MAX($J360-12,0),"")</f>
        <v/>
      </c>
    </row>
    <row r="361">
      <c r="A361" s="8" t="inlineStr">
        <is>
          <t>杨金玉</t>
        </is>
      </c>
      <c r="B361" s="8" t="inlineStr">
        <is>
          <t>8/19</t>
        </is>
      </c>
      <c r="C361" s="8" t="inlineStr">
        <is>
          <t>三</t>
        </is>
      </c>
      <c r="D361" s="8" t="inlineStr"/>
      <c r="E361" s="9" t="n"/>
      <c r="F361" s="9" t="n"/>
      <c r="G361" s="10">
        <f>IF($E361="","空卡",IF($F361="","单卡","正常"))</f>
        <v/>
      </c>
      <c r="H361" s="11">
        <f>IF($G361="正常",ROUND(($F361-$E361)*1440,0),"")</f>
        <v/>
      </c>
      <c r="I361" s="12">
        <f>IF($G361="正常",$H361/60,"")</f>
        <v/>
      </c>
      <c r="J361" s="13">
        <f>IF($G361="正常",ROUND($H361/30,0)/2,"")</f>
        <v/>
      </c>
      <c r="K361" s="13">
        <f>IF($G361="正常",MIN($J361,12),"")</f>
        <v/>
      </c>
      <c r="L361" s="13">
        <f>IF($G361="正常",MAX($J361-12,0),"")</f>
        <v/>
      </c>
    </row>
    <row r="362">
      <c r="A362" s="8" t="inlineStr">
        <is>
          <t>杨金玉</t>
        </is>
      </c>
      <c r="B362" s="8" t="inlineStr">
        <is>
          <t>8/20</t>
        </is>
      </c>
      <c r="C362" s="8" t="inlineStr">
        <is>
          <t>四</t>
        </is>
      </c>
      <c r="D362" s="8" t="inlineStr"/>
      <c r="E362" s="9" t="n"/>
      <c r="F362" s="9" t="n"/>
      <c r="G362" s="10">
        <f>IF($E362="","空卡",IF($F362="","单卡","正常"))</f>
        <v/>
      </c>
      <c r="H362" s="11">
        <f>IF($G362="正常",ROUND(($F362-$E362)*1440,0),"")</f>
        <v/>
      </c>
      <c r="I362" s="12">
        <f>IF($G362="正常",$H362/60,"")</f>
        <v/>
      </c>
      <c r="J362" s="13">
        <f>IF($G362="正常",ROUND($H362/30,0)/2,"")</f>
        <v/>
      </c>
      <c r="K362" s="13">
        <f>IF($G362="正常",MIN($J362,12),"")</f>
        <v/>
      </c>
      <c r="L362" s="13">
        <f>IF($G362="正常",MAX($J362-12,0),"")</f>
        <v/>
      </c>
    </row>
    <row r="363">
      <c r="A363" s="8" t="inlineStr">
        <is>
          <t>杨金玉</t>
        </is>
      </c>
      <c r="B363" s="8" t="inlineStr">
        <is>
          <t>8/21</t>
        </is>
      </c>
      <c r="C363" s="8" t="inlineStr">
        <is>
          <t>五</t>
        </is>
      </c>
      <c r="D363" s="8" t="inlineStr"/>
      <c r="E363" s="9" t="n"/>
      <c r="F363" s="9" t="n"/>
      <c r="G363" s="10">
        <f>IF($E363="","空卡",IF($F363="","单卡","正常"))</f>
        <v/>
      </c>
      <c r="H363" s="11">
        <f>IF($G363="正常",ROUND(($F363-$E363)*1440,0),"")</f>
        <v/>
      </c>
      <c r="I363" s="12">
        <f>IF($G363="正常",$H363/60,"")</f>
        <v/>
      </c>
      <c r="J363" s="13">
        <f>IF($G363="正常",ROUND($H363/30,0)/2,"")</f>
        <v/>
      </c>
      <c r="K363" s="13">
        <f>IF($G363="正常",MIN($J363,12),"")</f>
        <v/>
      </c>
      <c r="L363" s="13">
        <f>IF($G363="正常",MAX($J363-12,0),"")</f>
        <v/>
      </c>
    </row>
    <row r="364">
      <c r="A364" s="8" t="inlineStr">
        <is>
          <t>杨金玉</t>
        </is>
      </c>
      <c r="B364" s="8" t="inlineStr">
        <is>
          <t>8/22</t>
        </is>
      </c>
      <c r="C364" s="8" t="inlineStr">
        <is>
          <t>六</t>
        </is>
      </c>
      <c r="D364" s="8" t="inlineStr"/>
      <c r="E364" s="9" t="n"/>
      <c r="F364" s="9" t="n"/>
      <c r="G364" s="10">
        <f>IF($E364="","空卡",IF($F364="","单卡","正常"))</f>
        <v/>
      </c>
      <c r="H364" s="11">
        <f>IF($G364="正常",ROUND(($F364-$E364)*1440,0),"")</f>
        <v/>
      </c>
      <c r="I364" s="12">
        <f>IF($G364="正常",$H364/60,"")</f>
        <v/>
      </c>
      <c r="J364" s="13">
        <f>IF($G364="正常",ROUND($H364/30,0)/2,"")</f>
        <v/>
      </c>
      <c r="K364" s="13">
        <f>IF($G364="正常",MIN($J364,12),"")</f>
        <v/>
      </c>
      <c r="L364" s="13">
        <f>IF($G364="正常",MAX($J364-12,0),"")</f>
        <v/>
      </c>
    </row>
    <row r="365">
      <c r="A365" s="8" t="inlineStr">
        <is>
          <t>杨金玉</t>
        </is>
      </c>
      <c r="B365" s="8" t="inlineStr">
        <is>
          <t>8/23</t>
        </is>
      </c>
      <c r="C365" s="8" t="inlineStr">
        <is>
          <t>日</t>
        </is>
      </c>
      <c r="D365" s="8" t="inlineStr"/>
      <c r="E365" s="9" t="n"/>
      <c r="F365" s="9" t="n"/>
      <c r="G365" s="10">
        <f>IF($E365="","空卡",IF($F365="","单卡","正常"))</f>
        <v/>
      </c>
      <c r="H365" s="11">
        <f>IF($G365="正常",ROUND(($F365-$E365)*1440,0),"")</f>
        <v/>
      </c>
      <c r="I365" s="12">
        <f>IF($G365="正常",$H365/60,"")</f>
        <v/>
      </c>
      <c r="J365" s="13">
        <f>IF($G365="正常",ROUND($H365/30,0)/2,"")</f>
        <v/>
      </c>
      <c r="K365" s="13">
        <f>IF($G365="正常",MIN($J365,12),"")</f>
        <v/>
      </c>
      <c r="L365" s="13">
        <f>IF($G365="正常",MAX($J365-12,0),"")</f>
        <v/>
      </c>
    </row>
    <row r="366">
      <c r="A366" s="8" t="inlineStr">
        <is>
          <t>杨金玉</t>
        </is>
      </c>
      <c r="B366" s="8" t="inlineStr">
        <is>
          <t>8/24</t>
        </is>
      </c>
      <c r="C366" s="8" t="inlineStr">
        <is>
          <t>一</t>
        </is>
      </c>
      <c r="D366" s="8" t="inlineStr"/>
      <c r="E366" s="9" t="n"/>
      <c r="F366" s="9" t="n"/>
      <c r="G366" s="10">
        <f>IF($E366="","空卡",IF($F366="","单卡","正常"))</f>
        <v/>
      </c>
      <c r="H366" s="11">
        <f>IF($G366="正常",ROUND(($F366-$E366)*1440,0),"")</f>
        <v/>
      </c>
      <c r="I366" s="12">
        <f>IF($G366="正常",$H366/60,"")</f>
        <v/>
      </c>
      <c r="J366" s="13">
        <f>IF($G366="正常",ROUND($H366/30,0)/2,"")</f>
        <v/>
      </c>
      <c r="K366" s="13">
        <f>IF($G366="正常",MIN($J366,12),"")</f>
        <v/>
      </c>
      <c r="L366" s="13">
        <f>IF($G366="正常",MAX($J366-12,0),"")</f>
        <v/>
      </c>
    </row>
    <row r="367">
      <c r="A367" s="8" t="inlineStr">
        <is>
          <t>杨金玉</t>
        </is>
      </c>
      <c r="B367" s="8" t="inlineStr">
        <is>
          <t>8/25</t>
        </is>
      </c>
      <c r="C367" s="8" t="inlineStr">
        <is>
          <t>二</t>
        </is>
      </c>
      <c r="D367" s="8" t="inlineStr"/>
      <c r="E367" s="9" t="n"/>
      <c r="F367" s="9" t="n"/>
      <c r="G367" s="10">
        <f>IF($E367="","空卡",IF($F367="","单卡","正常"))</f>
        <v/>
      </c>
      <c r="H367" s="11">
        <f>IF($G367="正常",ROUND(($F367-$E367)*1440,0),"")</f>
        <v/>
      </c>
      <c r="I367" s="12">
        <f>IF($G367="正常",$H367/60,"")</f>
        <v/>
      </c>
      <c r="J367" s="13">
        <f>IF($G367="正常",ROUND($H367/30,0)/2,"")</f>
        <v/>
      </c>
      <c r="K367" s="13">
        <f>IF($G367="正常",MIN($J367,12),"")</f>
        <v/>
      </c>
      <c r="L367" s="13">
        <f>IF($G367="正常",MAX($J367-12,0),"")</f>
        <v/>
      </c>
    </row>
    <row r="368">
      <c r="A368" s="8" t="inlineStr">
        <is>
          <t>杨金玉</t>
        </is>
      </c>
      <c r="B368" s="8" t="inlineStr">
        <is>
          <t>8/26</t>
        </is>
      </c>
      <c r="C368" s="8" t="inlineStr">
        <is>
          <t>三</t>
        </is>
      </c>
      <c r="D368" s="8" t="inlineStr"/>
      <c r="E368" s="9" t="n"/>
      <c r="F368" s="9" t="n"/>
      <c r="G368" s="10">
        <f>IF($E368="","空卡",IF($F368="","单卡","正常"))</f>
        <v/>
      </c>
      <c r="H368" s="11">
        <f>IF($G368="正常",ROUND(($F368-$E368)*1440,0),"")</f>
        <v/>
      </c>
      <c r="I368" s="12">
        <f>IF($G368="正常",$H368/60,"")</f>
        <v/>
      </c>
      <c r="J368" s="13">
        <f>IF($G368="正常",ROUND($H368/30,0)/2,"")</f>
        <v/>
      </c>
      <c r="K368" s="13">
        <f>IF($G368="正常",MIN($J368,12),"")</f>
        <v/>
      </c>
      <c r="L368" s="13">
        <f>IF($G368="正常",MAX($J368-12,0),"")</f>
        <v/>
      </c>
    </row>
    <row r="369">
      <c r="A369" s="8" t="inlineStr">
        <is>
          <t>杨金玉</t>
        </is>
      </c>
      <c r="B369" s="8" t="inlineStr">
        <is>
          <t>8/27</t>
        </is>
      </c>
      <c r="C369" s="8" t="inlineStr">
        <is>
          <t>四</t>
        </is>
      </c>
      <c r="D369" s="8" t="inlineStr"/>
      <c r="E369" s="9" t="n"/>
      <c r="F369" s="9" t="n"/>
      <c r="G369" s="10">
        <f>IF($E369="","空卡",IF($F369="","单卡","正常"))</f>
        <v/>
      </c>
      <c r="H369" s="11">
        <f>IF($G369="正常",ROUND(($F369-$E369)*1440,0),"")</f>
        <v/>
      </c>
      <c r="I369" s="12">
        <f>IF($G369="正常",$H369/60,"")</f>
        <v/>
      </c>
      <c r="J369" s="13">
        <f>IF($G369="正常",ROUND($H369/30,0)/2,"")</f>
        <v/>
      </c>
      <c r="K369" s="13">
        <f>IF($G369="正常",MIN($J369,12),"")</f>
        <v/>
      </c>
      <c r="L369" s="13">
        <f>IF($G369="正常",MAX($J369-12,0),"")</f>
        <v/>
      </c>
    </row>
    <row r="370">
      <c r="A370" s="8" t="inlineStr">
        <is>
          <t>杨金玉</t>
        </is>
      </c>
      <c r="B370" s="8" t="inlineStr">
        <is>
          <t>8/28</t>
        </is>
      </c>
      <c r="C370" s="8" t="inlineStr">
        <is>
          <t>五</t>
        </is>
      </c>
      <c r="D370" s="8" t="inlineStr"/>
      <c r="E370" s="9" t="n"/>
      <c r="F370" s="9" t="n"/>
      <c r="G370" s="10">
        <f>IF($E370="","空卡",IF($F370="","单卡","正常"))</f>
        <v/>
      </c>
      <c r="H370" s="11">
        <f>IF($G370="正常",ROUND(($F370-$E370)*1440,0),"")</f>
        <v/>
      </c>
      <c r="I370" s="12">
        <f>IF($G370="正常",$H370/60,"")</f>
        <v/>
      </c>
      <c r="J370" s="13">
        <f>IF($G370="正常",ROUND($H370/30,0)/2,"")</f>
        <v/>
      </c>
      <c r="K370" s="13">
        <f>IF($G370="正常",MIN($J370,12),"")</f>
        <v/>
      </c>
      <c r="L370" s="13">
        <f>IF($G370="正常",MAX($J370-12,0),"")</f>
        <v/>
      </c>
    </row>
    <row r="371">
      <c r="A371" s="8" t="inlineStr">
        <is>
          <t>杨金玉</t>
        </is>
      </c>
      <c r="B371" s="8" t="inlineStr">
        <is>
          <t>8/29</t>
        </is>
      </c>
      <c r="C371" s="8" t="inlineStr">
        <is>
          <t>六</t>
        </is>
      </c>
      <c r="D371" s="8" t="inlineStr"/>
      <c r="E371" s="9" t="n"/>
      <c r="F371" s="9" t="n"/>
      <c r="G371" s="10">
        <f>IF($E371="","空卡",IF($F371="","单卡","正常"))</f>
        <v/>
      </c>
      <c r="H371" s="11">
        <f>IF($G371="正常",ROUND(($F371-$E371)*1440,0),"")</f>
        <v/>
      </c>
      <c r="I371" s="12">
        <f>IF($G371="正常",$H371/60,"")</f>
        <v/>
      </c>
      <c r="J371" s="13">
        <f>IF($G371="正常",ROUND($H371/30,0)/2,"")</f>
        <v/>
      </c>
      <c r="K371" s="13">
        <f>IF($G371="正常",MIN($J371,12),"")</f>
        <v/>
      </c>
      <c r="L371" s="13">
        <f>IF($G371="正常",MAX($J371-12,0),"")</f>
        <v/>
      </c>
    </row>
    <row r="372">
      <c r="A372" s="8" t="inlineStr">
        <is>
          <t>杨金玉</t>
        </is>
      </c>
      <c r="B372" s="8" t="inlineStr">
        <is>
          <t>8/30</t>
        </is>
      </c>
      <c r="C372" s="8" t="inlineStr">
        <is>
          <t>日</t>
        </is>
      </c>
      <c r="D372" s="8" t="inlineStr"/>
      <c r="E372" s="9" t="n"/>
      <c r="F372" s="9" t="n"/>
      <c r="G372" s="10">
        <f>IF($E372="","空卡",IF($F372="","单卡","正常"))</f>
        <v/>
      </c>
      <c r="H372" s="11">
        <f>IF($G372="正常",ROUND(($F372-$E372)*1440,0),"")</f>
        <v/>
      </c>
      <c r="I372" s="12">
        <f>IF($G372="正常",$H372/60,"")</f>
        <v/>
      </c>
      <c r="J372" s="13">
        <f>IF($G372="正常",ROUND($H372/30,0)/2,"")</f>
        <v/>
      </c>
      <c r="K372" s="13">
        <f>IF($G372="正常",MIN($J372,12),"")</f>
        <v/>
      </c>
      <c r="L372" s="13">
        <f>IF($G372="正常",MAX($J372-12,0),"")</f>
        <v/>
      </c>
    </row>
    <row r="373">
      <c r="A373" s="8" t="inlineStr">
        <is>
          <t>杨金玉</t>
        </is>
      </c>
      <c r="B373" s="8" t="inlineStr">
        <is>
          <t>8/31</t>
        </is>
      </c>
      <c r="C373" s="8" t="inlineStr">
        <is>
          <t>一</t>
        </is>
      </c>
      <c r="D373" s="8" t="inlineStr"/>
      <c r="E373" s="9" t="n"/>
      <c r="F373" s="9" t="n"/>
      <c r="G373" s="10">
        <f>IF($E373="","空卡",IF($F373="","单卡","正常"))</f>
        <v/>
      </c>
      <c r="H373" s="11">
        <f>IF($G373="正常",ROUND(($F373-$E373)*1440,0),"")</f>
        <v/>
      </c>
      <c r="I373" s="12">
        <f>IF($G373="正常",$H373/60,"")</f>
        <v/>
      </c>
      <c r="J373" s="13">
        <f>IF($G373="正常",ROUND($H373/30,0)/2,"")</f>
        <v/>
      </c>
      <c r="K373" s="13">
        <f>IF($G373="正常",MIN($J373,12),"")</f>
        <v/>
      </c>
      <c r="L373" s="13">
        <f>IF($G373="正常",MAX($J373-12,0),"")</f>
        <v/>
      </c>
    </row>
    <row r="374">
      <c r="A374" s="8" t="inlineStr">
        <is>
          <t>苏邑容</t>
        </is>
      </c>
      <c r="B374" s="8" t="inlineStr">
        <is>
          <t>8/1</t>
        </is>
      </c>
      <c r="C374" s="8" t="inlineStr">
        <is>
          <t>六</t>
        </is>
      </c>
      <c r="D374" s="8" t="inlineStr"/>
      <c r="E374" s="9" t="n"/>
      <c r="F374" s="9" t="n"/>
      <c r="G374" s="10">
        <f>IF($E374="","空卡",IF($F374="","单卡","正常"))</f>
        <v/>
      </c>
      <c r="H374" s="11">
        <f>IF($G374="正常",ROUND(($F374-$E374)*1440,0),"")</f>
        <v/>
      </c>
      <c r="I374" s="12">
        <f>IF($G374="正常",$H374/60,"")</f>
        <v/>
      </c>
      <c r="J374" s="13">
        <f>IF($G374="正常",ROUND($H374/30,0)/2,"")</f>
        <v/>
      </c>
      <c r="K374" s="13">
        <f>IF($G374="正常",MIN($J374,12),"")</f>
        <v/>
      </c>
      <c r="L374" s="13">
        <f>IF($G374="正常",MAX($J374-12,0),"")</f>
        <v/>
      </c>
    </row>
    <row r="375">
      <c r="A375" s="8" t="inlineStr">
        <is>
          <t>苏邑容</t>
        </is>
      </c>
      <c r="B375" s="8" t="inlineStr">
        <is>
          <t>8/2</t>
        </is>
      </c>
      <c r="C375" s="8" t="inlineStr">
        <is>
          <t>日</t>
        </is>
      </c>
      <c r="D375" s="8" t="inlineStr"/>
      <c r="E375" s="9" t="n"/>
      <c r="F375" s="9" t="n"/>
      <c r="G375" s="10">
        <f>IF($E375="","空卡",IF($F375="","单卡","正常"))</f>
        <v/>
      </c>
      <c r="H375" s="11">
        <f>IF($G375="正常",ROUND(($F375-$E375)*1440,0),"")</f>
        <v/>
      </c>
      <c r="I375" s="12">
        <f>IF($G375="正常",$H375/60,"")</f>
        <v/>
      </c>
      <c r="J375" s="13">
        <f>IF($G375="正常",ROUND($H375/30,0)/2,"")</f>
        <v/>
      </c>
      <c r="K375" s="13">
        <f>IF($G375="正常",MIN($J375,12),"")</f>
        <v/>
      </c>
      <c r="L375" s="13">
        <f>IF($G375="正常",MAX($J375-12,0),"")</f>
        <v/>
      </c>
    </row>
    <row r="376">
      <c r="A376" s="8" t="inlineStr">
        <is>
          <t>苏邑容</t>
        </is>
      </c>
      <c r="B376" s="8" t="inlineStr">
        <is>
          <t>8/3</t>
        </is>
      </c>
      <c r="C376" s="8" t="inlineStr">
        <is>
          <t>一</t>
        </is>
      </c>
      <c r="D376" s="8" t="inlineStr"/>
      <c r="E376" s="9" t="n"/>
      <c r="F376" s="9" t="n"/>
      <c r="G376" s="10">
        <f>IF($E376="","空卡",IF($F376="","单卡","正常"))</f>
        <v/>
      </c>
      <c r="H376" s="11">
        <f>IF($G376="正常",ROUND(($F376-$E376)*1440,0),"")</f>
        <v/>
      </c>
      <c r="I376" s="12">
        <f>IF($G376="正常",$H376/60,"")</f>
        <v/>
      </c>
      <c r="J376" s="13">
        <f>IF($G376="正常",ROUND($H376/30,0)/2,"")</f>
        <v/>
      </c>
      <c r="K376" s="13">
        <f>IF($G376="正常",MIN($J376,12),"")</f>
        <v/>
      </c>
      <c r="L376" s="13">
        <f>IF($G376="正常",MAX($J376-12,0),"")</f>
        <v/>
      </c>
    </row>
    <row r="377">
      <c r="A377" s="8" t="inlineStr">
        <is>
          <t>苏邑容</t>
        </is>
      </c>
      <c r="B377" s="8" t="inlineStr">
        <is>
          <t>8/4</t>
        </is>
      </c>
      <c r="C377" s="8" t="inlineStr">
        <is>
          <t>二</t>
        </is>
      </c>
      <c r="D377" s="8" t="inlineStr"/>
      <c r="E377" s="9" t="n"/>
      <c r="F377" s="9" t="n"/>
      <c r="G377" s="10">
        <f>IF($E377="","空卡",IF($F377="","单卡","正常"))</f>
        <v/>
      </c>
      <c r="H377" s="11">
        <f>IF($G377="正常",ROUND(($F377-$E377)*1440,0),"")</f>
        <v/>
      </c>
      <c r="I377" s="12">
        <f>IF($G377="正常",$H377/60,"")</f>
        <v/>
      </c>
      <c r="J377" s="13">
        <f>IF($G377="正常",ROUND($H377/30,0)/2,"")</f>
        <v/>
      </c>
      <c r="K377" s="13">
        <f>IF($G377="正常",MIN($J377,12),"")</f>
        <v/>
      </c>
      <c r="L377" s="13">
        <f>IF($G377="正常",MAX($J377-12,0),"")</f>
        <v/>
      </c>
    </row>
    <row r="378">
      <c r="A378" s="8" t="inlineStr">
        <is>
          <t>苏邑容</t>
        </is>
      </c>
      <c r="B378" s="8" t="inlineStr">
        <is>
          <t>8/5</t>
        </is>
      </c>
      <c r="C378" s="8" t="inlineStr">
        <is>
          <t>三</t>
        </is>
      </c>
      <c r="D378" s="8" t="inlineStr"/>
      <c r="E378" s="9" t="n"/>
      <c r="F378" s="9" t="n"/>
      <c r="G378" s="10">
        <f>IF($E378="","空卡",IF($F378="","单卡","正常"))</f>
        <v/>
      </c>
      <c r="H378" s="11">
        <f>IF($G378="正常",ROUND(($F378-$E378)*1440,0),"")</f>
        <v/>
      </c>
      <c r="I378" s="12">
        <f>IF($G378="正常",$H378/60,"")</f>
        <v/>
      </c>
      <c r="J378" s="13">
        <f>IF($G378="正常",ROUND($H378/30,0)/2,"")</f>
        <v/>
      </c>
      <c r="K378" s="13">
        <f>IF($G378="正常",MIN($J378,12),"")</f>
        <v/>
      </c>
      <c r="L378" s="13">
        <f>IF($G378="正常",MAX($J378-12,0),"")</f>
        <v/>
      </c>
    </row>
    <row r="379">
      <c r="A379" s="8" t="inlineStr">
        <is>
          <t>苏邑容</t>
        </is>
      </c>
      <c r="B379" s="8" t="inlineStr">
        <is>
          <t>8/6</t>
        </is>
      </c>
      <c r="C379" s="8" t="inlineStr">
        <is>
          <t>四</t>
        </is>
      </c>
      <c r="D379" s="8" t="inlineStr"/>
      <c r="E379" s="9" t="n"/>
      <c r="F379" s="9" t="n"/>
      <c r="G379" s="10">
        <f>IF($E379="","空卡",IF($F379="","单卡","正常"))</f>
        <v/>
      </c>
      <c r="H379" s="11">
        <f>IF($G379="正常",ROUND(($F379-$E379)*1440,0),"")</f>
        <v/>
      </c>
      <c r="I379" s="12">
        <f>IF($G379="正常",$H379/60,"")</f>
        <v/>
      </c>
      <c r="J379" s="13">
        <f>IF($G379="正常",ROUND($H379/30,0)/2,"")</f>
        <v/>
      </c>
      <c r="K379" s="13">
        <f>IF($G379="正常",MIN($J379,12),"")</f>
        <v/>
      </c>
      <c r="L379" s="13">
        <f>IF($G379="正常",MAX($J379-12,0),"")</f>
        <v/>
      </c>
    </row>
    <row r="380">
      <c r="A380" s="8" t="inlineStr">
        <is>
          <t>苏邑容</t>
        </is>
      </c>
      <c r="B380" s="8" t="inlineStr">
        <is>
          <t>8/7</t>
        </is>
      </c>
      <c r="C380" s="8" t="inlineStr">
        <is>
          <t>五</t>
        </is>
      </c>
      <c r="D380" s="8" t="inlineStr"/>
      <c r="E380" s="9" t="n"/>
      <c r="F380" s="9" t="n"/>
      <c r="G380" s="10">
        <f>IF($E380="","空卡",IF($F380="","单卡","正常"))</f>
        <v/>
      </c>
      <c r="H380" s="11">
        <f>IF($G380="正常",ROUND(($F380-$E380)*1440,0),"")</f>
        <v/>
      </c>
      <c r="I380" s="12">
        <f>IF($G380="正常",$H380/60,"")</f>
        <v/>
      </c>
      <c r="J380" s="13">
        <f>IF($G380="正常",ROUND($H380/30,0)/2,"")</f>
        <v/>
      </c>
      <c r="K380" s="13">
        <f>IF($G380="正常",MIN($J380,12),"")</f>
        <v/>
      </c>
      <c r="L380" s="13">
        <f>IF($G380="正常",MAX($J380-12,0),"")</f>
        <v/>
      </c>
    </row>
    <row r="381">
      <c r="A381" s="8" t="inlineStr">
        <is>
          <t>苏邑容</t>
        </is>
      </c>
      <c r="B381" s="8" t="inlineStr">
        <is>
          <t>8/8</t>
        </is>
      </c>
      <c r="C381" s="8" t="inlineStr">
        <is>
          <t>六</t>
        </is>
      </c>
      <c r="D381" s="8" t="inlineStr"/>
      <c r="E381" s="9" t="n"/>
      <c r="F381" s="9" t="n"/>
      <c r="G381" s="10">
        <f>IF($E381="","空卡",IF($F381="","单卡","正常"))</f>
        <v/>
      </c>
      <c r="H381" s="11">
        <f>IF($G381="正常",ROUND(($F381-$E381)*1440,0),"")</f>
        <v/>
      </c>
      <c r="I381" s="12">
        <f>IF($G381="正常",$H381/60,"")</f>
        <v/>
      </c>
      <c r="J381" s="13">
        <f>IF($G381="正常",ROUND($H381/30,0)/2,"")</f>
        <v/>
      </c>
      <c r="K381" s="13">
        <f>IF($G381="正常",MIN($J381,12),"")</f>
        <v/>
      </c>
      <c r="L381" s="13">
        <f>IF($G381="正常",MAX($J381-12,0),"")</f>
        <v/>
      </c>
    </row>
    <row r="382">
      <c r="A382" s="8" t="inlineStr">
        <is>
          <t>苏邑容</t>
        </is>
      </c>
      <c r="B382" s="8" t="inlineStr">
        <is>
          <t>8/9</t>
        </is>
      </c>
      <c r="C382" s="8" t="inlineStr">
        <is>
          <t>日</t>
        </is>
      </c>
      <c r="D382" s="8" t="inlineStr"/>
      <c r="E382" s="9" t="n"/>
      <c r="F382" s="9" t="n"/>
      <c r="G382" s="10">
        <f>IF($E382="","空卡",IF($F382="","单卡","正常"))</f>
        <v/>
      </c>
      <c r="H382" s="11">
        <f>IF($G382="正常",ROUND(($F382-$E382)*1440,0),"")</f>
        <v/>
      </c>
      <c r="I382" s="12">
        <f>IF($G382="正常",$H382/60,"")</f>
        <v/>
      </c>
      <c r="J382" s="13">
        <f>IF($G382="正常",ROUND($H382/30,0)/2,"")</f>
        <v/>
      </c>
      <c r="K382" s="13">
        <f>IF($G382="正常",MIN($J382,12),"")</f>
        <v/>
      </c>
      <c r="L382" s="13">
        <f>IF($G382="正常",MAX($J382-12,0),"")</f>
        <v/>
      </c>
    </row>
    <row r="383">
      <c r="A383" s="8" t="inlineStr">
        <is>
          <t>苏邑容</t>
        </is>
      </c>
      <c r="B383" s="8" t="inlineStr">
        <is>
          <t>8/10</t>
        </is>
      </c>
      <c r="C383" s="8" t="inlineStr">
        <is>
          <t>一</t>
        </is>
      </c>
      <c r="D383" s="8" t="inlineStr"/>
      <c r="E383" s="9" t="n"/>
      <c r="F383" s="9" t="n"/>
      <c r="G383" s="10">
        <f>IF($E383="","空卡",IF($F383="","单卡","正常"))</f>
        <v/>
      </c>
      <c r="H383" s="11">
        <f>IF($G383="正常",ROUND(($F383-$E383)*1440,0),"")</f>
        <v/>
      </c>
      <c r="I383" s="12">
        <f>IF($G383="正常",$H383/60,"")</f>
        <v/>
      </c>
      <c r="J383" s="13">
        <f>IF($G383="正常",ROUND($H383/30,0)/2,"")</f>
        <v/>
      </c>
      <c r="K383" s="13">
        <f>IF($G383="正常",MIN($J383,12),"")</f>
        <v/>
      </c>
      <c r="L383" s="13">
        <f>IF($G383="正常",MAX($J383-12,0),"")</f>
        <v/>
      </c>
    </row>
    <row r="384">
      <c r="A384" s="8" t="inlineStr">
        <is>
          <t>苏邑容</t>
        </is>
      </c>
      <c r="B384" s="8" t="inlineStr">
        <is>
          <t>8/11</t>
        </is>
      </c>
      <c r="C384" s="8" t="inlineStr">
        <is>
          <t>二</t>
        </is>
      </c>
      <c r="D384" s="8" t="inlineStr"/>
      <c r="E384" s="9" t="n"/>
      <c r="F384" s="9" t="n"/>
      <c r="G384" s="10">
        <f>IF($E384="","空卡",IF($F384="","单卡","正常"))</f>
        <v/>
      </c>
      <c r="H384" s="11">
        <f>IF($G384="正常",ROUND(($F384-$E384)*1440,0),"")</f>
        <v/>
      </c>
      <c r="I384" s="12">
        <f>IF($G384="正常",$H384/60,"")</f>
        <v/>
      </c>
      <c r="J384" s="13">
        <f>IF($G384="正常",ROUND($H384/30,0)/2,"")</f>
        <v/>
      </c>
      <c r="K384" s="13">
        <f>IF($G384="正常",MIN($J384,12),"")</f>
        <v/>
      </c>
      <c r="L384" s="13">
        <f>IF($G384="正常",MAX($J384-12,0),"")</f>
        <v/>
      </c>
    </row>
    <row r="385">
      <c r="A385" s="8" t="inlineStr">
        <is>
          <t>苏邑容</t>
        </is>
      </c>
      <c r="B385" s="8" t="inlineStr">
        <is>
          <t>8/12</t>
        </is>
      </c>
      <c r="C385" s="8" t="inlineStr">
        <is>
          <t>三</t>
        </is>
      </c>
      <c r="D385" s="8" t="inlineStr"/>
      <c r="E385" s="9" t="n"/>
      <c r="F385" s="9" t="n"/>
      <c r="G385" s="10">
        <f>IF($E385="","空卡",IF($F385="","单卡","正常"))</f>
        <v/>
      </c>
      <c r="H385" s="11">
        <f>IF($G385="正常",ROUND(($F385-$E385)*1440,0),"")</f>
        <v/>
      </c>
      <c r="I385" s="12">
        <f>IF($G385="正常",$H385/60,"")</f>
        <v/>
      </c>
      <c r="J385" s="13">
        <f>IF($G385="正常",ROUND($H385/30,0)/2,"")</f>
        <v/>
      </c>
      <c r="K385" s="13">
        <f>IF($G385="正常",MIN($J385,12),"")</f>
        <v/>
      </c>
      <c r="L385" s="13">
        <f>IF($G385="正常",MAX($J385-12,0),"")</f>
        <v/>
      </c>
    </row>
    <row r="386">
      <c r="A386" s="8" t="inlineStr">
        <is>
          <t>苏邑容</t>
        </is>
      </c>
      <c r="B386" s="8" t="inlineStr">
        <is>
          <t>8/13</t>
        </is>
      </c>
      <c r="C386" s="8" t="inlineStr">
        <is>
          <t>四</t>
        </is>
      </c>
      <c r="D386" s="8" t="inlineStr"/>
      <c r="E386" s="9" t="n"/>
      <c r="F386" s="9" t="n"/>
      <c r="G386" s="10">
        <f>IF($E386="","空卡",IF($F386="","单卡","正常"))</f>
        <v/>
      </c>
      <c r="H386" s="11">
        <f>IF($G386="正常",ROUND(($F386-$E386)*1440,0),"")</f>
        <v/>
      </c>
      <c r="I386" s="12">
        <f>IF($G386="正常",$H386/60,"")</f>
        <v/>
      </c>
      <c r="J386" s="13">
        <f>IF($G386="正常",ROUND($H386/30,0)/2,"")</f>
        <v/>
      </c>
      <c r="K386" s="13">
        <f>IF($G386="正常",MIN($J386,12),"")</f>
        <v/>
      </c>
      <c r="L386" s="13">
        <f>IF($G386="正常",MAX($J386-12,0),"")</f>
        <v/>
      </c>
    </row>
    <row r="387">
      <c r="A387" s="8" t="inlineStr">
        <is>
          <t>苏邑容</t>
        </is>
      </c>
      <c r="B387" s="8" t="inlineStr">
        <is>
          <t>8/14</t>
        </is>
      </c>
      <c r="C387" s="8" t="inlineStr">
        <is>
          <t>五</t>
        </is>
      </c>
      <c r="D387" s="8" t="inlineStr"/>
      <c r="E387" s="9" t="n"/>
      <c r="F387" s="9" t="n"/>
      <c r="G387" s="10">
        <f>IF($E387="","空卡",IF($F387="","单卡","正常"))</f>
        <v/>
      </c>
      <c r="H387" s="11">
        <f>IF($G387="正常",ROUND(($F387-$E387)*1440,0),"")</f>
        <v/>
      </c>
      <c r="I387" s="12">
        <f>IF($G387="正常",$H387/60,"")</f>
        <v/>
      </c>
      <c r="J387" s="13">
        <f>IF($G387="正常",ROUND($H387/30,0)/2,"")</f>
        <v/>
      </c>
      <c r="K387" s="13">
        <f>IF($G387="正常",MIN($J387,12),"")</f>
        <v/>
      </c>
      <c r="L387" s="13">
        <f>IF($G387="正常",MAX($J387-12,0),"")</f>
        <v/>
      </c>
    </row>
    <row r="388">
      <c r="A388" s="8" t="inlineStr">
        <is>
          <t>苏邑容</t>
        </is>
      </c>
      <c r="B388" s="8" t="inlineStr">
        <is>
          <t>8/15</t>
        </is>
      </c>
      <c r="C388" s="8" t="inlineStr">
        <is>
          <t>六</t>
        </is>
      </c>
      <c r="D388" s="8" t="inlineStr"/>
      <c r="E388" s="9" t="n"/>
      <c r="F388" s="9" t="n"/>
      <c r="G388" s="10">
        <f>IF($E388="","空卡",IF($F388="","单卡","正常"))</f>
        <v/>
      </c>
      <c r="H388" s="11">
        <f>IF($G388="正常",ROUND(($F388-$E388)*1440,0),"")</f>
        <v/>
      </c>
      <c r="I388" s="12">
        <f>IF($G388="正常",$H388/60,"")</f>
        <v/>
      </c>
      <c r="J388" s="13">
        <f>IF($G388="正常",ROUND($H388/30,0)/2,"")</f>
        <v/>
      </c>
      <c r="K388" s="13">
        <f>IF($G388="正常",MIN($J388,12),"")</f>
        <v/>
      </c>
      <c r="L388" s="13">
        <f>IF($G388="正常",MAX($J388-12,0),"")</f>
        <v/>
      </c>
    </row>
    <row r="389">
      <c r="A389" s="8" t="inlineStr">
        <is>
          <t>苏邑容</t>
        </is>
      </c>
      <c r="B389" s="8" t="inlineStr">
        <is>
          <t>8/16</t>
        </is>
      </c>
      <c r="C389" s="8" t="inlineStr">
        <is>
          <t>日</t>
        </is>
      </c>
      <c r="D389" s="8" t="inlineStr"/>
      <c r="E389" s="9" t="n"/>
      <c r="F389" s="9" t="n"/>
      <c r="G389" s="10">
        <f>IF($E389="","空卡",IF($F389="","单卡","正常"))</f>
        <v/>
      </c>
      <c r="H389" s="11">
        <f>IF($G389="正常",ROUND(($F389-$E389)*1440,0),"")</f>
        <v/>
      </c>
      <c r="I389" s="12">
        <f>IF($G389="正常",$H389/60,"")</f>
        <v/>
      </c>
      <c r="J389" s="13">
        <f>IF($G389="正常",ROUND($H389/30,0)/2,"")</f>
        <v/>
      </c>
      <c r="K389" s="13">
        <f>IF($G389="正常",MIN($J389,12),"")</f>
        <v/>
      </c>
      <c r="L389" s="13">
        <f>IF($G389="正常",MAX($J389-12,0),"")</f>
        <v/>
      </c>
    </row>
    <row r="390">
      <c r="A390" s="8" t="inlineStr">
        <is>
          <t>苏邑容</t>
        </is>
      </c>
      <c r="B390" s="8" t="inlineStr">
        <is>
          <t>8/17</t>
        </is>
      </c>
      <c r="C390" s="8" t="inlineStr">
        <is>
          <t>一</t>
        </is>
      </c>
      <c r="D390" s="8" t="inlineStr"/>
      <c r="E390" s="9" t="n"/>
      <c r="F390" s="9" t="n"/>
      <c r="G390" s="10">
        <f>IF($E390="","空卡",IF($F390="","单卡","正常"))</f>
        <v/>
      </c>
      <c r="H390" s="11">
        <f>IF($G390="正常",ROUND(($F390-$E390)*1440,0),"")</f>
        <v/>
      </c>
      <c r="I390" s="12">
        <f>IF($G390="正常",$H390/60,"")</f>
        <v/>
      </c>
      <c r="J390" s="13">
        <f>IF($G390="正常",ROUND($H390/30,0)/2,"")</f>
        <v/>
      </c>
      <c r="K390" s="13">
        <f>IF($G390="正常",MIN($J390,12),"")</f>
        <v/>
      </c>
      <c r="L390" s="13">
        <f>IF($G390="正常",MAX($J390-12,0),"")</f>
        <v/>
      </c>
    </row>
    <row r="391">
      <c r="A391" s="8" t="inlineStr">
        <is>
          <t>苏邑容</t>
        </is>
      </c>
      <c r="B391" s="8" t="inlineStr">
        <is>
          <t>8/18</t>
        </is>
      </c>
      <c r="C391" s="8" t="inlineStr">
        <is>
          <t>二</t>
        </is>
      </c>
      <c r="D391" s="8" t="inlineStr"/>
      <c r="E391" s="9" t="n"/>
      <c r="F391" s="9" t="n"/>
      <c r="G391" s="10">
        <f>IF($E391="","空卡",IF($F391="","单卡","正常"))</f>
        <v/>
      </c>
      <c r="H391" s="11">
        <f>IF($G391="正常",ROUND(($F391-$E391)*1440,0),"")</f>
        <v/>
      </c>
      <c r="I391" s="12">
        <f>IF($G391="正常",$H391/60,"")</f>
        <v/>
      </c>
      <c r="J391" s="13">
        <f>IF($G391="正常",ROUND($H391/30,0)/2,"")</f>
        <v/>
      </c>
      <c r="K391" s="13">
        <f>IF($G391="正常",MIN($J391,12),"")</f>
        <v/>
      </c>
      <c r="L391" s="13">
        <f>IF($G391="正常",MAX($J391-12,0),"")</f>
        <v/>
      </c>
    </row>
    <row r="392">
      <c r="A392" s="8" t="inlineStr">
        <is>
          <t>苏邑容</t>
        </is>
      </c>
      <c r="B392" s="8" t="inlineStr">
        <is>
          <t>8/19</t>
        </is>
      </c>
      <c r="C392" s="8" t="inlineStr">
        <is>
          <t>三</t>
        </is>
      </c>
      <c r="D392" s="8" t="inlineStr"/>
      <c r="E392" s="9" t="n"/>
      <c r="F392" s="9" t="n"/>
      <c r="G392" s="10">
        <f>IF($E392="","空卡",IF($F392="","单卡","正常"))</f>
        <v/>
      </c>
      <c r="H392" s="11">
        <f>IF($G392="正常",ROUND(($F392-$E392)*1440,0),"")</f>
        <v/>
      </c>
      <c r="I392" s="12">
        <f>IF($G392="正常",$H392/60,"")</f>
        <v/>
      </c>
      <c r="J392" s="13">
        <f>IF($G392="正常",ROUND($H392/30,0)/2,"")</f>
        <v/>
      </c>
      <c r="K392" s="13">
        <f>IF($G392="正常",MIN($J392,12),"")</f>
        <v/>
      </c>
      <c r="L392" s="13">
        <f>IF($G392="正常",MAX($J392-12,0),"")</f>
        <v/>
      </c>
    </row>
    <row r="393">
      <c r="A393" s="8" t="inlineStr">
        <is>
          <t>苏邑容</t>
        </is>
      </c>
      <c r="B393" s="8" t="inlineStr">
        <is>
          <t>8/20</t>
        </is>
      </c>
      <c r="C393" s="8" t="inlineStr">
        <is>
          <t>四</t>
        </is>
      </c>
      <c r="D393" s="8" t="inlineStr"/>
      <c r="E393" s="9" t="n"/>
      <c r="F393" s="9" t="n"/>
      <c r="G393" s="10">
        <f>IF($E393="","空卡",IF($F393="","单卡","正常"))</f>
        <v/>
      </c>
      <c r="H393" s="11">
        <f>IF($G393="正常",ROUND(($F393-$E393)*1440,0),"")</f>
        <v/>
      </c>
      <c r="I393" s="12">
        <f>IF($G393="正常",$H393/60,"")</f>
        <v/>
      </c>
      <c r="J393" s="13">
        <f>IF($G393="正常",ROUND($H393/30,0)/2,"")</f>
        <v/>
      </c>
      <c r="K393" s="13">
        <f>IF($G393="正常",MIN($J393,12),"")</f>
        <v/>
      </c>
      <c r="L393" s="13">
        <f>IF($G393="正常",MAX($J393-12,0),"")</f>
        <v/>
      </c>
    </row>
    <row r="394">
      <c r="A394" s="8" t="inlineStr">
        <is>
          <t>苏邑容</t>
        </is>
      </c>
      <c r="B394" s="8" t="inlineStr">
        <is>
          <t>8/21</t>
        </is>
      </c>
      <c r="C394" s="8" t="inlineStr">
        <is>
          <t>五</t>
        </is>
      </c>
      <c r="D394" s="8" t="inlineStr"/>
      <c r="E394" s="9" t="n"/>
      <c r="F394" s="9" t="n"/>
      <c r="G394" s="10">
        <f>IF($E394="","空卡",IF($F394="","单卡","正常"))</f>
        <v/>
      </c>
      <c r="H394" s="11">
        <f>IF($G394="正常",ROUND(($F394-$E394)*1440,0),"")</f>
        <v/>
      </c>
      <c r="I394" s="12">
        <f>IF($G394="正常",$H394/60,"")</f>
        <v/>
      </c>
      <c r="J394" s="13">
        <f>IF($G394="正常",ROUND($H394/30,0)/2,"")</f>
        <v/>
      </c>
      <c r="K394" s="13">
        <f>IF($G394="正常",MIN($J394,12),"")</f>
        <v/>
      </c>
      <c r="L394" s="13">
        <f>IF($G394="正常",MAX($J394-12,0),"")</f>
        <v/>
      </c>
    </row>
    <row r="395">
      <c r="A395" s="8" t="inlineStr">
        <is>
          <t>苏邑容</t>
        </is>
      </c>
      <c r="B395" s="8" t="inlineStr">
        <is>
          <t>8/22</t>
        </is>
      </c>
      <c r="C395" s="8" t="inlineStr">
        <is>
          <t>六</t>
        </is>
      </c>
      <c r="D395" s="8" t="inlineStr"/>
      <c r="E395" s="9" t="n"/>
      <c r="F395" s="9" t="n"/>
      <c r="G395" s="10">
        <f>IF($E395="","空卡",IF($F395="","单卡","正常"))</f>
        <v/>
      </c>
      <c r="H395" s="11">
        <f>IF($G395="正常",ROUND(($F395-$E395)*1440,0),"")</f>
        <v/>
      </c>
      <c r="I395" s="12">
        <f>IF($G395="正常",$H395/60,"")</f>
        <v/>
      </c>
      <c r="J395" s="13">
        <f>IF($G395="正常",ROUND($H395/30,0)/2,"")</f>
        <v/>
      </c>
      <c r="K395" s="13">
        <f>IF($G395="正常",MIN($J395,12),"")</f>
        <v/>
      </c>
      <c r="L395" s="13">
        <f>IF($G395="正常",MAX($J395-12,0),"")</f>
        <v/>
      </c>
    </row>
    <row r="396">
      <c r="A396" s="8" t="inlineStr">
        <is>
          <t>苏邑容</t>
        </is>
      </c>
      <c r="B396" s="8" t="inlineStr">
        <is>
          <t>8/23</t>
        </is>
      </c>
      <c r="C396" s="8" t="inlineStr">
        <is>
          <t>日</t>
        </is>
      </c>
      <c r="D396" s="8" t="inlineStr"/>
      <c r="E396" s="9" t="n"/>
      <c r="F396" s="9" t="n"/>
      <c r="G396" s="10">
        <f>IF($E396="","空卡",IF($F396="","单卡","正常"))</f>
        <v/>
      </c>
      <c r="H396" s="11">
        <f>IF($G396="正常",ROUND(($F396-$E396)*1440,0),"")</f>
        <v/>
      </c>
      <c r="I396" s="12">
        <f>IF($G396="正常",$H396/60,"")</f>
        <v/>
      </c>
      <c r="J396" s="13">
        <f>IF($G396="正常",ROUND($H396/30,0)/2,"")</f>
        <v/>
      </c>
      <c r="K396" s="13">
        <f>IF($G396="正常",MIN($J396,12),"")</f>
        <v/>
      </c>
      <c r="L396" s="13">
        <f>IF($G396="正常",MAX($J396-12,0),"")</f>
        <v/>
      </c>
    </row>
    <row r="397">
      <c r="A397" s="8" t="inlineStr">
        <is>
          <t>苏邑容</t>
        </is>
      </c>
      <c r="B397" s="8" t="inlineStr">
        <is>
          <t>8/24</t>
        </is>
      </c>
      <c r="C397" s="8" t="inlineStr">
        <is>
          <t>一</t>
        </is>
      </c>
      <c r="D397" s="8" t="inlineStr"/>
      <c r="E397" s="9" t="n"/>
      <c r="F397" s="9" t="n"/>
      <c r="G397" s="10">
        <f>IF($E397="","空卡",IF($F397="","单卡","正常"))</f>
        <v/>
      </c>
      <c r="H397" s="11">
        <f>IF($G397="正常",ROUND(($F397-$E397)*1440,0),"")</f>
        <v/>
      </c>
      <c r="I397" s="12">
        <f>IF($G397="正常",$H397/60,"")</f>
        <v/>
      </c>
      <c r="J397" s="13">
        <f>IF($G397="正常",ROUND($H397/30,0)/2,"")</f>
        <v/>
      </c>
      <c r="K397" s="13">
        <f>IF($G397="正常",MIN($J397,12),"")</f>
        <v/>
      </c>
      <c r="L397" s="13">
        <f>IF($G397="正常",MAX($J397-12,0),"")</f>
        <v/>
      </c>
    </row>
    <row r="398">
      <c r="A398" s="8" t="inlineStr">
        <is>
          <t>苏邑容</t>
        </is>
      </c>
      <c r="B398" s="8" t="inlineStr">
        <is>
          <t>8/25</t>
        </is>
      </c>
      <c r="C398" s="8" t="inlineStr">
        <is>
          <t>二</t>
        </is>
      </c>
      <c r="D398" s="8" t="inlineStr"/>
      <c r="E398" s="9" t="n"/>
      <c r="F398" s="9" t="n"/>
      <c r="G398" s="10">
        <f>IF($E398="","空卡",IF($F398="","单卡","正常"))</f>
        <v/>
      </c>
      <c r="H398" s="11">
        <f>IF($G398="正常",ROUND(($F398-$E398)*1440,0),"")</f>
        <v/>
      </c>
      <c r="I398" s="12">
        <f>IF($G398="正常",$H398/60,"")</f>
        <v/>
      </c>
      <c r="J398" s="13">
        <f>IF($G398="正常",ROUND($H398/30,0)/2,"")</f>
        <v/>
      </c>
      <c r="K398" s="13">
        <f>IF($G398="正常",MIN($J398,12),"")</f>
        <v/>
      </c>
      <c r="L398" s="13">
        <f>IF($G398="正常",MAX($J398-12,0),"")</f>
        <v/>
      </c>
    </row>
    <row r="399">
      <c r="A399" s="8" t="inlineStr">
        <is>
          <t>苏邑容</t>
        </is>
      </c>
      <c r="B399" s="8" t="inlineStr">
        <is>
          <t>8/26</t>
        </is>
      </c>
      <c r="C399" s="8" t="inlineStr">
        <is>
          <t>三</t>
        </is>
      </c>
      <c r="D399" s="8" t="inlineStr"/>
      <c r="E399" s="9" t="n"/>
      <c r="F399" s="9" t="n"/>
      <c r="G399" s="10">
        <f>IF($E399="","空卡",IF($F399="","单卡","正常"))</f>
        <v/>
      </c>
      <c r="H399" s="11">
        <f>IF($G399="正常",ROUND(($F399-$E399)*1440,0),"")</f>
        <v/>
      </c>
      <c r="I399" s="12">
        <f>IF($G399="正常",$H399/60,"")</f>
        <v/>
      </c>
      <c r="J399" s="13">
        <f>IF($G399="正常",ROUND($H399/30,0)/2,"")</f>
        <v/>
      </c>
      <c r="K399" s="13">
        <f>IF($G399="正常",MIN($J399,12),"")</f>
        <v/>
      </c>
      <c r="L399" s="13">
        <f>IF($G399="正常",MAX($J399-12,0),"")</f>
        <v/>
      </c>
    </row>
    <row r="400">
      <c r="A400" s="8" t="inlineStr">
        <is>
          <t>苏邑容</t>
        </is>
      </c>
      <c r="B400" s="8" t="inlineStr">
        <is>
          <t>8/27</t>
        </is>
      </c>
      <c r="C400" s="8" t="inlineStr">
        <is>
          <t>四</t>
        </is>
      </c>
      <c r="D400" s="8" t="inlineStr"/>
      <c r="E400" s="9" t="n"/>
      <c r="F400" s="9" t="n"/>
      <c r="G400" s="10">
        <f>IF($E400="","空卡",IF($F400="","单卡","正常"))</f>
        <v/>
      </c>
      <c r="H400" s="11">
        <f>IF($G400="正常",ROUND(($F400-$E400)*1440,0),"")</f>
        <v/>
      </c>
      <c r="I400" s="12">
        <f>IF($G400="正常",$H400/60,"")</f>
        <v/>
      </c>
      <c r="J400" s="13">
        <f>IF($G400="正常",ROUND($H400/30,0)/2,"")</f>
        <v/>
      </c>
      <c r="K400" s="13">
        <f>IF($G400="正常",MIN($J400,12),"")</f>
        <v/>
      </c>
      <c r="L400" s="13">
        <f>IF($G400="正常",MAX($J400-12,0),"")</f>
        <v/>
      </c>
    </row>
    <row r="401">
      <c r="A401" s="8" t="inlineStr">
        <is>
          <t>苏邑容</t>
        </is>
      </c>
      <c r="B401" s="8" t="inlineStr">
        <is>
          <t>8/28</t>
        </is>
      </c>
      <c r="C401" s="8" t="inlineStr">
        <is>
          <t>五</t>
        </is>
      </c>
      <c r="D401" s="8" t="inlineStr"/>
      <c r="E401" s="9" t="n"/>
      <c r="F401" s="9" t="n"/>
      <c r="G401" s="10">
        <f>IF($E401="","空卡",IF($F401="","单卡","正常"))</f>
        <v/>
      </c>
      <c r="H401" s="11">
        <f>IF($G401="正常",ROUND(($F401-$E401)*1440,0),"")</f>
        <v/>
      </c>
      <c r="I401" s="12">
        <f>IF($G401="正常",$H401/60,"")</f>
        <v/>
      </c>
      <c r="J401" s="13">
        <f>IF($G401="正常",ROUND($H401/30,0)/2,"")</f>
        <v/>
      </c>
      <c r="K401" s="13">
        <f>IF($G401="正常",MIN($J401,12),"")</f>
        <v/>
      </c>
      <c r="L401" s="13">
        <f>IF($G401="正常",MAX($J401-12,0),"")</f>
        <v/>
      </c>
    </row>
    <row r="402">
      <c r="A402" s="8" t="inlineStr">
        <is>
          <t>苏邑容</t>
        </is>
      </c>
      <c r="B402" s="8" t="inlineStr">
        <is>
          <t>8/29</t>
        </is>
      </c>
      <c r="C402" s="8" t="inlineStr">
        <is>
          <t>六</t>
        </is>
      </c>
      <c r="D402" s="8" t="inlineStr"/>
      <c r="E402" s="9" t="n"/>
      <c r="F402" s="9" t="n"/>
      <c r="G402" s="10">
        <f>IF($E402="","空卡",IF($F402="","单卡","正常"))</f>
        <v/>
      </c>
      <c r="H402" s="11">
        <f>IF($G402="正常",ROUND(($F402-$E402)*1440,0),"")</f>
        <v/>
      </c>
      <c r="I402" s="12">
        <f>IF($G402="正常",$H402/60,"")</f>
        <v/>
      </c>
      <c r="J402" s="13">
        <f>IF($G402="正常",ROUND($H402/30,0)/2,"")</f>
        <v/>
      </c>
      <c r="K402" s="13">
        <f>IF($G402="正常",MIN($J402,12),"")</f>
        <v/>
      </c>
      <c r="L402" s="13">
        <f>IF($G402="正常",MAX($J402-12,0),"")</f>
        <v/>
      </c>
    </row>
    <row r="403">
      <c r="A403" s="8" t="inlineStr">
        <is>
          <t>苏邑容</t>
        </is>
      </c>
      <c r="B403" s="8" t="inlineStr">
        <is>
          <t>8/30</t>
        </is>
      </c>
      <c r="C403" s="8" t="inlineStr">
        <is>
          <t>日</t>
        </is>
      </c>
      <c r="D403" s="8" t="inlineStr"/>
      <c r="E403" s="9" t="n"/>
      <c r="F403" s="9" t="n"/>
      <c r="G403" s="10">
        <f>IF($E403="","空卡",IF($F403="","单卡","正常"))</f>
        <v/>
      </c>
      <c r="H403" s="11">
        <f>IF($G403="正常",ROUND(($F403-$E403)*1440,0),"")</f>
        <v/>
      </c>
      <c r="I403" s="12">
        <f>IF($G403="正常",$H403/60,"")</f>
        <v/>
      </c>
      <c r="J403" s="13">
        <f>IF($G403="正常",ROUND($H403/30,0)/2,"")</f>
        <v/>
      </c>
      <c r="K403" s="13">
        <f>IF($G403="正常",MIN($J403,12),"")</f>
        <v/>
      </c>
      <c r="L403" s="13">
        <f>IF($G403="正常",MAX($J403-12,0),"")</f>
        <v/>
      </c>
    </row>
    <row r="404">
      <c r="A404" s="8" t="inlineStr">
        <is>
          <t>苏邑容</t>
        </is>
      </c>
      <c r="B404" s="8" t="inlineStr">
        <is>
          <t>8/31</t>
        </is>
      </c>
      <c r="C404" s="8" t="inlineStr">
        <is>
          <t>一</t>
        </is>
      </c>
      <c r="D404" s="8" t="inlineStr"/>
      <c r="E404" s="9" t="n"/>
      <c r="F404" s="9" t="n"/>
      <c r="G404" s="10">
        <f>IF($E404="","空卡",IF($F404="","单卡","正常"))</f>
        <v/>
      </c>
      <c r="H404" s="11">
        <f>IF($G404="正常",ROUND(($F404-$E404)*1440,0),"")</f>
        <v/>
      </c>
      <c r="I404" s="12">
        <f>IF($G404="正常",$H404/60,"")</f>
        <v/>
      </c>
      <c r="J404" s="13">
        <f>IF($G404="正常",ROUND($H404/30,0)/2,"")</f>
        <v/>
      </c>
      <c r="K404" s="13">
        <f>IF($G404="正常",MIN($J404,12),"")</f>
        <v/>
      </c>
      <c r="L404" s="13">
        <f>IF($G404="正常",MAX($J404-12,0),"")</f>
        <v/>
      </c>
    </row>
    <row r="405">
      <c r="A405" s="8" t="inlineStr">
        <is>
          <t>廖荣萍</t>
        </is>
      </c>
      <c r="B405" s="8" t="inlineStr">
        <is>
          <t>8/1</t>
        </is>
      </c>
      <c r="C405" s="8" t="inlineStr">
        <is>
          <t>六</t>
        </is>
      </c>
      <c r="D405" s="8" t="inlineStr"/>
      <c r="E405" s="9" t="n"/>
      <c r="F405" s="9" t="n"/>
      <c r="G405" s="10">
        <f>IF($E405="","空卡",IF($F405="","单卡","正常"))</f>
        <v/>
      </c>
      <c r="H405" s="11">
        <f>IF($G405="正常",ROUND(($F405-$E405)*1440,0),"")</f>
        <v/>
      </c>
      <c r="I405" s="12">
        <f>IF($G405="正常",$H405/60,"")</f>
        <v/>
      </c>
      <c r="J405" s="13">
        <f>IF($G405="正常",ROUND($H405/30,0)/2,"")</f>
        <v/>
      </c>
      <c r="K405" s="13">
        <f>IF($G405="正常",MIN($J405,12),"")</f>
        <v/>
      </c>
      <c r="L405" s="13">
        <f>IF($G405="正常",MAX($J405-12,0),"")</f>
        <v/>
      </c>
    </row>
    <row r="406">
      <c r="A406" s="8" t="inlineStr">
        <is>
          <t>廖荣萍</t>
        </is>
      </c>
      <c r="B406" s="8" t="inlineStr">
        <is>
          <t>8/2</t>
        </is>
      </c>
      <c r="C406" s="8" t="inlineStr">
        <is>
          <t>日</t>
        </is>
      </c>
      <c r="D406" s="8" t="inlineStr"/>
      <c r="E406" s="9" t="n"/>
      <c r="F406" s="9" t="n"/>
      <c r="G406" s="10">
        <f>IF($E406="","空卡",IF($F406="","单卡","正常"))</f>
        <v/>
      </c>
      <c r="H406" s="11">
        <f>IF($G406="正常",ROUND(($F406-$E406)*1440,0),"")</f>
        <v/>
      </c>
      <c r="I406" s="12">
        <f>IF($G406="正常",$H406/60,"")</f>
        <v/>
      </c>
      <c r="J406" s="13">
        <f>IF($G406="正常",ROUND($H406/30,0)/2,"")</f>
        <v/>
      </c>
      <c r="K406" s="13">
        <f>IF($G406="正常",MIN($J406,12),"")</f>
        <v/>
      </c>
      <c r="L406" s="13">
        <f>IF($G406="正常",MAX($J406-12,0),"")</f>
        <v/>
      </c>
    </row>
    <row r="407">
      <c r="A407" s="8" t="inlineStr">
        <is>
          <t>廖荣萍</t>
        </is>
      </c>
      <c r="B407" s="8" t="inlineStr">
        <is>
          <t>8/3</t>
        </is>
      </c>
      <c r="C407" s="8" t="inlineStr">
        <is>
          <t>一</t>
        </is>
      </c>
      <c r="D407" s="8" t="inlineStr"/>
      <c r="E407" s="9" t="n"/>
      <c r="F407" s="9" t="n"/>
      <c r="G407" s="10">
        <f>IF($E407="","空卡",IF($F407="","单卡","正常"))</f>
        <v/>
      </c>
      <c r="H407" s="11">
        <f>IF($G407="正常",ROUND(($F407-$E407)*1440,0),"")</f>
        <v/>
      </c>
      <c r="I407" s="12">
        <f>IF($G407="正常",$H407/60,"")</f>
        <v/>
      </c>
      <c r="J407" s="13">
        <f>IF($G407="正常",ROUND($H407/30,0)/2,"")</f>
        <v/>
      </c>
      <c r="K407" s="13">
        <f>IF($G407="正常",MIN($J407,12),"")</f>
        <v/>
      </c>
      <c r="L407" s="13">
        <f>IF($G407="正常",MAX($J407-12,0),"")</f>
        <v/>
      </c>
    </row>
    <row r="408">
      <c r="A408" s="8" t="inlineStr">
        <is>
          <t>廖荣萍</t>
        </is>
      </c>
      <c r="B408" s="8" t="inlineStr">
        <is>
          <t>8/4</t>
        </is>
      </c>
      <c r="C408" s="8" t="inlineStr">
        <is>
          <t>二</t>
        </is>
      </c>
      <c r="D408" s="8" t="inlineStr"/>
      <c r="E408" s="9" t="n"/>
      <c r="F408" s="9" t="n"/>
      <c r="G408" s="10">
        <f>IF($E408="","空卡",IF($F408="","单卡","正常"))</f>
        <v/>
      </c>
      <c r="H408" s="11">
        <f>IF($G408="正常",ROUND(($F408-$E408)*1440,0),"")</f>
        <v/>
      </c>
      <c r="I408" s="12">
        <f>IF($G408="正常",$H408/60,"")</f>
        <v/>
      </c>
      <c r="J408" s="13">
        <f>IF($G408="正常",ROUND($H408/30,0)/2,"")</f>
        <v/>
      </c>
      <c r="K408" s="13">
        <f>IF($G408="正常",MIN($J408,12),"")</f>
        <v/>
      </c>
      <c r="L408" s="13">
        <f>IF($G408="正常",MAX($J408-12,0),"")</f>
        <v/>
      </c>
    </row>
    <row r="409">
      <c r="A409" s="8" t="inlineStr">
        <is>
          <t>廖荣萍</t>
        </is>
      </c>
      <c r="B409" s="8" t="inlineStr">
        <is>
          <t>8/5</t>
        </is>
      </c>
      <c r="C409" s="8" t="inlineStr">
        <is>
          <t>三</t>
        </is>
      </c>
      <c r="D409" s="8" t="inlineStr"/>
      <c r="E409" s="9" t="n"/>
      <c r="F409" s="9" t="n"/>
      <c r="G409" s="10">
        <f>IF($E409="","空卡",IF($F409="","单卡","正常"))</f>
        <v/>
      </c>
      <c r="H409" s="11">
        <f>IF($G409="正常",ROUND(($F409-$E409)*1440,0),"")</f>
        <v/>
      </c>
      <c r="I409" s="12">
        <f>IF($G409="正常",$H409/60,"")</f>
        <v/>
      </c>
      <c r="J409" s="13">
        <f>IF($G409="正常",ROUND($H409/30,0)/2,"")</f>
        <v/>
      </c>
      <c r="K409" s="13">
        <f>IF($G409="正常",MIN($J409,12),"")</f>
        <v/>
      </c>
      <c r="L409" s="13">
        <f>IF($G409="正常",MAX($J409-12,0),"")</f>
        <v/>
      </c>
    </row>
    <row r="410">
      <c r="A410" s="8" t="inlineStr">
        <is>
          <t>廖荣萍</t>
        </is>
      </c>
      <c r="B410" s="8" t="inlineStr">
        <is>
          <t>8/6</t>
        </is>
      </c>
      <c r="C410" s="8" t="inlineStr">
        <is>
          <t>四</t>
        </is>
      </c>
      <c r="D410" s="8" t="inlineStr"/>
      <c r="E410" s="9" t="n"/>
      <c r="F410" s="9" t="n"/>
      <c r="G410" s="10">
        <f>IF($E410="","空卡",IF($F410="","单卡","正常"))</f>
        <v/>
      </c>
      <c r="H410" s="11">
        <f>IF($G410="正常",ROUND(($F410-$E410)*1440,0),"")</f>
        <v/>
      </c>
      <c r="I410" s="12">
        <f>IF($G410="正常",$H410/60,"")</f>
        <v/>
      </c>
      <c r="J410" s="13">
        <f>IF($G410="正常",ROUND($H410/30,0)/2,"")</f>
        <v/>
      </c>
      <c r="K410" s="13">
        <f>IF($G410="正常",MIN($J410,12),"")</f>
        <v/>
      </c>
      <c r="L410" s="13">
        <f>IF($G410="正常",MAX($J410-12,0),"")</f>
        <v/>
      </c>
    </row>
    <row r="411">
      <c r="A411" s="8" t="inlineStr">
        <is>
          <t>廖荣萍</t>
        </is>
      </c>
      <c r="B411" s="8" t="inlineStr">
        <is>
          <t>8/7</t>
        </is>
      </c>
      <c r="C411" s="8" t="inlineStr">
        <is>
          <t>五</t>
        </is>
      </c>
      <c r="D411" s="8" t="inlineStr"/>
      <c r="E411" s="9" t="n"/>
      <c r="F411" s="9" t="n"/>
      <c r="G411" s="10">
        <f>IF($E411="","空卡",IF($F411="","单卡","正常"))</f>
        <v/>
      </c>
      <c r="H411" s="11">
        <f>IF($G411="正常",ROUND(($F411-$E411)*1440,0),"")</f>
        <v/>
      </c>
      <c r="I411" s="12">
        <f>IF($G411="正常",$H411/60,"")</f>
        <v/>
      </c>
      <c r="J411" s="13">
        <f>IF($G411="正常",ROUND($H411/30,0)/2,"")</f>
        <v/>
      </c>
      <c r="K411" s="13">
        <f>IF($G411="正常",MIN($J411,12),"")</f>
        <v/>
      </c>
      <c r="L411" s="13">
        <f>IF($G411="正常",MAX($J411-12,0),"")</f>
        <v/>
      </c>
    </row>
    <row r="412">
      <c r="A412" s="8" t="inlineStr">
        <is>
          <t>廖荣萍</t>
        </is>
      </c>
      <c r="B412" s="8" t="inlineStr">
        <is>
          <t>8/8</t>
        </is>
      </c>
      <c r="C412" s="8" t="inlineStr">
        <is>
          <t>六</t>
        </is>
      </c>
      <c r="D412" s="8" t="inlineStr"/>
      <c r="E412" s="9" t="n"/>
      <c r="F412" s="9" t="n"/>
      <c r="G412" s="10">
        <f>IF($E412="","空卡",IF($F412="","单卡","正常"))</f>
        <v/>
      </c>
      <c r="H412" s="11">
        <f>IF($G412="正常",ROUND(($F412-$E412)*1440,0),"")</f>
        <v/>
      </c>
      <c r="I412" s="12">
        <f>IF($G412="正常",$H412/60,"")</f>
        <v/>
      </c>
      <c r="J412" s="13">
        <f>IF($G412="正常",ROUND($H412/30,0)/2,"")</f>
        <v/>
      </c>
      <c r="K412" s="13">
        <f>IF($G412="正常",MIN($J412,12),"")</f>
        <v/>
      </c>
      <c r="L412" s="13">
        <f>IF($G412="正常",MAX($J412-12,0),"")</f>
        <v/>
      </c>
    </row>
    <row r="413">
      <c r="A413" s="8" t="inlineStr">
        <is>
          <t>廖荣萍</t>
        </is>
      </c>
      <c r="B413" s="8" t="inlineStr">
        <is>
          <t>8/9</t>
        </is>
      </c>
      <c r="C413" s="8" t="inlineStr">
        <is>
          <t>日</t>
        </is>
      </c>
      <c r="D413" s="8" t="inlineStr"/>
      <c r="E413" s="9" t="n"/>
      <c r="F413" s="9" t="n"/>
      <c r="G413" s="10">
        <f>IF($E413="","空卡",IF($F413="","单卡","正常"))</f>
        <v/>
      </c>
      <c r="H413" s="11">
        <f>IF($G413="正常",ROUND(($F413-$E413)*1440,0),"")</f>
        <v/>
      </c>
      <c r="I413" s="12">
        <f>IF($G413="正常",$H413/60,"")</f>
        <v/>
      </c>
      <c r="J413" s="13">
        <f>IF($G413="正常",ROUND($H413/30,0)/2,"")</f>
        <v/>
      </c>
      <c r="K413" s="13">
        <f>IF($G413="正常",MIN($J413,12),"")</f>
        <v/>
      </c>
      <c r="L413" s="13">
        <f>IF($G413="正常",MAX($J413-12,0),"")</f>
        <v/>
      </c>
    </row>
    <row r="414">
      <c r="A414" s="8" t="inlineStr">
        <is>
          <t>廖荣萍</t>
        </is>
      </c>
      <c r="B414" s="8" t="inlineStr">
        <is>
          <t>8/10</t>
        </is>
      </c>
      <c r="C414" s="8" t="inlineStr">
        <is>
          <t>一</t>
        </is>
      </c>
      <c r="D414" s="8" t="inlineStr"/>
      <c r="E414" s="9" t="n"/>
      <c r="F414" s="9" t="n"/>
      <c r="G414" s="10">
        <f>IF($E414="","空卡",IF($F414="","单卡","正常"))</f>
        <v/>
      </c>
      <c r="H414" s="11">
        <f>IF($G414="正常",ROUND(($F414-$E414)*1440,0),"")</f>
        <v/>
      </c>
      <c r="I414" s="12">
        <f>IF($G414="正常",$H414/60,"")</f>
        <v/>
      </c>
      <c r="J414" s="13">
        <f>IF($G414="正常",ROUND($H414/30,0)/2,"")</f>
        <v/>
      </c>
      <c r="K414" s="13">
        <f>IF($G414="正常",MIN($J414,12),"")</f>
        <v/>
      </c>
      <c r="L414" s="13">
        <f>IF($G414="正常",MAX($J414-12,0),"")</f>
        <v/>
      </c>
    </row>
    <row r="415">
      <c r="A415" s="8" t="inlineStr">
        <is>
          <t>廖荣萍</t>
        </is>
      </c>
      <c r="B415" s="8" t="inlineStr">
        <is>
          <t>8/11</t>
        </is>
      </c>
      <c r="C415" s="8" t="inlineStr">
        <is>
          <t>二</t>
        </is>
      </c>
      <c r="D415" s="8" t="inlineStr"/>
      <c r="E415" s="9" t="n"/>
      <c r="F415" s="9" t="n"/>
      <c r="G415" s="10">
        <f>IF($E415="","空卡",IF($F415="","单卡","正常"))</f>
        <v/>
      </c>
      <c r="H415" s="11">
        <f>IF($G415="正常",ROUND(($F415-$E415)*1440,0),"")</f>
        <v/>
      </c>
      <c r="I415" s="12">
        <f>IF($G415="正常",$H415/60,"")</f>
        <v/>
      </c>
      <c r="J415" s="13">
        <f>IF($G415="正常",ROUND($H415/30,0)/2,"")</f>
        <v/>
      </c>
      <c r="K415" s="13">
        <f>IF($G415="正常",MIN($J415,12),"")</f>
        <v/>
      </c>
      <c r="L415" s="13">
        <f>IF($G415="正常",MAX($J415-12,0),"")</f>
        <v/>
      </c>
    </row>
    <row r="416">
      <c r="A416" s="8" t="inlineStr">
        <is>
          <t>廖荣萍</t>
        </is>
      </c>
      <c r="B416" s="8" t="inlineStr">
        <is>
          <t>8/12</t>
        </is>
      </c>
      <c r="C416" s="8" t="inlineStr">
        <is>
          <t>三</t>
        </is>
      </c>
      <c r="D416" s="8" t="inlineStr"/>
      <c r="E416" s="9" t="n"/>
      <c r="F416" s="9" t="n"/>
      <c r="G416" s="10">
        <f>IF($E416="","空卡",IF($F416="","单卡","正常"))</f>
        <v/>
      </c>
      <c r="H416" s="11">
        <f>IF($G416="正常",ROUND(($F416-$E416)*1440,0),"")</f>
        <v/>
      </c>
      <c r="I416" s="12">
        <f>IF($G416="正常",$H416/60,"")</f>
        <v/>
      </c>
      <c r="J416" s="13">
        <f>IF($G416="正常",ROUND($H416/30,0)/2,"")</f>
        <v/>
      </c>
      <c r="K416" s="13">
        <f>IF($G416="正常",MIN($J416,12),"")</f>
        <v/>
      </c>
      <c r="L416" s="13">
        <f>IF($G416="正常",MAX($J416-12,0),"")</f>
        <v/>
      </c>
    </row>
    <row r="417">
      <c r="A417" s="8" t="inlineStr">
        <is>
          <t>廖荣萍</t>
        </is>
      </c>
      <c r="B417" s="8" t="inlineStr">
        <is>
          <t>8/13</t>
        </is>
      </c>
      <c r="C417" s="8" t="inlineStr">
        <is>
          <t>四</t>
        </is>
      </c>
      <c r="D417" s="8" t="inlineStr"/>
      <c r="E417" s="9" t="n"/>
      <c r="F417" s="9" t="n"/>
      <c r="G417" s="10">
        <f>IF($E417="","空卡",IF($F417="","单卡","正常"))</f>
        <v/>
      </c>
      <c r="H417" s="11">
        <f>IF($G417="正常",ROUND(($F417-$E417)*1440,0),"")</f>
        <v/>
      </c>
      <c r="I417" s="12">
        <f>IF($G417="正常",$H417/60,"")</f>
        <v/>
      </c>
      <c r="J417" s="13">
        <f>IF($G417="正常",ROUND($H417/30,0)/2,"")</f>
        <v/>
      </c>
      <c r="K417" s="13">
        <f>IF($G417="正常",MIN($J417,12),"")</f>
        <v/>
      </c>
      <c r="L417" s="13">
        <f>IF($G417="正常",MAX($J417-12,0),"")</f>
        <v/>
      </c>
    </row>
    <row r="418">
      <c r="A418" s="8" t="inlineStr">
        <is>
          <t>廖荣萍</t>
        </is>
      </c>
      <c r="B418" s="8" t="inlineStr">
        <is>
          <t>8/14</t>
        </is>
      </c>
      <c r="C418" s="8" t="inlineStr">
        <is>
          <t>五</t>
        </is>
      </c>
      <c r="D418" s="8" t="inlineStr"/>
      <c r="E418" s="9" t="n"/>
      <c r="F418" s="9" t="n"/>
      <c r="G418" s="10">
        <f>IF($E418="","空卡",IF($F418="","单卡","正常"))</f>
        <v/>
      </c>
      <c r="H418" s="11">
        <f>IF($G418="正常",ROUND(($F418-$E418)*1440,0),"")</f>
        <v/>
      </c>
      <c r="I418" s="12">
        <f>IF($G418="正常",$H418/60,"")</f>
        <v/>
      </c>
      <c r="J418" s="13">
        <f>IF($G418="正常",ROUND($H418/30,0)/2,"")</f>
        <v/>
      </c>
      <c r="K418" s="13">
        <f>IF($G418="正常",MIN($J418,12),"")</f>
        <v/>
      </c>
      <c r="L418" s="13">
        <f>IF($G418="正常",MAX($J418-12,0),"")</f>
        <v/>
      </c>
    </row>
    <row r="419">
      <c r="A419" s="8" t="inlineStr">
        <is>
          <t>廖荣萍</t>
        </is>
      </c>
      <c r="B419" s="8" t="inlineStr">
        <is>
          <t>8/15</t>
        </is>
      </c>
      <c r="C419" s="8" t="inlineStr">
        <is>
          <t>六</t>
        </is>
      </c>
      <c r="D419" s="8" t="inlineStr"/>
      <c r="E419" s="9" t="n"/>
      <c r="F419" s="9" t="n"/>
      <c r="G419" s="10">
        <f>IF($E419="","空卡",IF($F419="","单卡","正常"))</f>
        <v/>
      </c>
      <c r="H419" s="11">
        <f>IF($G419="正常",ROUND(($F419-$E419)*1440,0),"")</f>
        <v/>
      </c>
      <c r="I419" s="12">
        <f>IF($G419="正常",$H419/60,"")</f>
        <v/>
      </c>
      <c r="J419" s="13">
        <f>IF($G419="正常",ROUND($H419/30,0)/2,"")</f>
        <v/>
      </c>
      <c r="K419" s="13">
        <f>IF($G419="正常",MIN($J419,12),"")</f>
        <v/>
      </c>
      <c r="L419" s="13">
        <f>IF($G419="正常",MAX($J419-12,0),"")</f>
        <v/>
      </c>
    </row>
    <row r="420">
      <c r="A420" s="8" t="inlineStr">
        <is>
          <t>廖荣萍</t>
        </is>
      </c>
      <c r="B420" s="8" t="inlineStr">
        <is>
          <t>8/16</t>
        </is>
      </c>
      <c r="C420" s="8" t="inlineStr">
        <is>
          <t>日</t>
        </is>
      </c>
      <c r="D420" s="8" t="inlineStr"/>
      <c r="E420" s="9" t="n"/>
      <c r="F420" s="9" t="n"/>
      <c r="G420" s="10">
        <f>IF($E420="","空卡",IF($F420="","单卡","正常"))</f>
        <v/>
      </c>
      <c r="H420" s="11">
        <f>IF($G420="正常",ROUND(($F420-$E420)*1440,0),"")</f>
        <v/>
      </c>
      <c r="I420" s="12">
        <f>IF($G420="正常",$H420/60,"")</f>
        <v/>
      </c>
      <c r="J420" s="13">
        <f>IF($G420="正常",ROUND($H420/30,0)/2,"")</f>
        <v/>
      </c>
      <c r="K420" s="13">
        <f>IF($G420="正常",MIN($J420,12),"")</f>
        <v/>
      </c>
      <c r="L420" s="13">
        <f>IF($G420="正常",MAX($J420-12,0),"")</f>
        <v/>
      </c>
    </row>
    <row r="421">
      <c r="A421" s="3" t="inlineStr">
        <is>
          <t>廖荣萍</t>
        </is>
      </c>
      <c r="B421" s="3" t="inlineStr">
        <is>
          <t>8/17</t>
        </is>
      </c>
      <c r="C421" s="3" t="inlineStr">
        <is>
          <t>一</t>
        </is>
      </c>
      <c r="D421" s="3" t="inlineStr">
        <is>
          <t>07:43 19:30</t>
        </is>
      </c>
      <c r="E421" s="4" t="n">
        <v>0.3215277777777778</v>
      </c>
      <c r="F421" s="4" t="n">
        <v>0.8125</v>
      </c>
      <c r="G421" s="3">
        <f>IF($E421="","空卡",IF($F421="","单卡","正常"))</f>
        <v/>
      </c>
      <c r="H421" s="5">
        <f>IF($G421="正常",ROUND(($F421-$E421)*1440,0),"")</f>
        <v/>
      </c>
      <c r="I421" s="6">
        <f>IF($G421="正常",$H421/60,"")</f>
        <v/>
      </c>
      <c r="J421" s="7">
        <f>IF($G421="正常",ROUND($H421/30,0)/2,"")</f>
        <v/>
      </c>
      <c r="K421" s="7">
        <f>IF($G421="正常",MIN($J421,12),"")</f>
        <v/>
      </c>
      <c r="L421" s="7">
        <f>IF($G421="正常",MAX($J421-12,0),"")</f>
        <v/>
      </c>
    </row>
    <row r="422">
      <c r="A422" s="3" t="inlineStr">
        <is>
          <t>廖荣萍</t>
        </is>
      </c>
      <c r="B422" s="3" t="inlineStr">
        <is>
          <t>8/18</t>
        </is>
      </c>
      <c r="C422" s="3" t="inlineStr">
        <is>
          <t>二</t>
        </is>
      </c>
      <c r="D422" s="3" t="inlineStr">
        <is>
          <t>07:41 18:56</t>
        </is>
      </c>
      <c r="E422" s="4" t="n">
        <v>0.3201388888888889</v>
      </c>
      <c r="F422" s="4" t="n">
        <v>0.7888888888888889</v>
      </c>
      <c r="G422" s="3">
        <f>IF($E422="","空卡",IF($F422="","单卡","正常"))</f>
        <v/>
      </c>
      <c r="H422" s="5">
        <f>IF($G422="正常",ROUND(($F422-$E422)*1440,0),"")</f>
        <v/>
      </c>
      <c r="I422" s="6">
        <f>IF($G422="正常",$H422/60,"")</f>
        <v/>
      </c>
      <c r="J422" s="7">
        <f>IF($G422="正常",ROUND($H422/30,0)/2,"")</f>
        <v/>
      </c>
      <c r="K422" s="7">
        <f>IF($G422="正常",MIN($J422,12),"")</f>
        <v/>
      </c>
      <c r="L422" s="7">
        <f>IF($G422="正常",MAX($J422-12,0),"")</f>
        <v/>
      </c>
    </row>
    <row r="423">
      <c r="A423" s="3" t="inlineStr">
        <is>
          <t>廖荣萍</t>
        </is>
      </c>
      <c r="B423" s="3" t="inlineStr">
        <is>
          <t>8/19</t>
        </is>
      </c>
      <c r="C423" s="3" t="inlineStr">
        <is>
          <t>三</t>
        </is>
      </c>
      <c r="D423" s="3" t="inlineStr">
        <is>
          <t>08:43 20:02</t>
        </is>
      </c>
      <c r="E423" s="4" t="n">
        <v>0.3631944444444444</v>
      </c>
      <c r="F423" s="4" t="n">
        <v>0.8347222222222223</v>
      </c>
      <c r="G423" s="3">
        <f>IF($E423="","空卡",IF($F423="","单卡","正常"))</f>
        <v/>
      </c>
      <c r="H423" s="5">
        <f>IF($G423="正常",ROUND(($F423-$E423)*1440,0),"")</f>
        <v/>
      </c>
      <c r="I423" s="6">
        <f>IF($G423="正常",$H423/60,"")</f>
        <v/>
      </c>
      <c r="J423" s="7">
        <f>IF($G423="正常",ROUND($H423/30,0)/2,"")</f>
        <v/>
      </c>
      <c r="K423" s="7">
        <f>IF($G423="正常",MIN($J423,12),"")</f>
        <v/>
      </c>
      <c r="L423" s="7">
        <f>IF($G423="正常",MAX($J423-12,0),"")</f>
        <v/>
      </c>
    </row>
    <row r="424">
      <c r="A424" s="8" t="inlineStr">
        <is>
          <t>廖荣萍</t>
        </is>
      </c>
      <c r="B424" s="8" t="inlineStr">
        <is>
          <t>8/20</t>
        </is>
      </c>
      <c r="C424" s="8" t="inlineStr">
        <is>
          <t>四</t>
        </is>
      </c>
      <c r="D424" s="8" t="inlineStr"/>
      <c r="E424" s="9" t="n"/>
      <c r="F424" s="9" t="n"/>
      <c r="G424" s="10">
        <f>IF($E424="","空卡",IF($F424="","单卡","正常"))</f>
        <v/>
      </c>
      <c r="H424" s="11">
        <f>IF($G424="正常",ROUND(($F424-$E424)*1440,0),"")</f>
        <v/>
      </c>
      <c r="I424" s="12">
        <f>IF($G424="正常",$H424/60,"")</f>
        <v/>
      </c>
      <c r="J424" s="13">
        <f>IF($G424="正常",ROUND($H424/30,0)/2,"")</f>
        <v/>
      </c>
      <c r="K424" s="13">
        <f>IF($G424="正常",MIN($J424,12),"")</f>
        <v/>
      </c>
      <c r="L424" s="13">
        <f>IF($G424="正常",MAX($J424-12,0),"")</f>
        <v/>
      </c>
    </row>
    <row r="425">
      <c r="A425" s="8" t="inlineStr">
        <is>
          <t>廖荣萍</t>
        </is>
      </c>
      <c r="B425" s="8" t="inlineStr">
        <is>
          <t>8/21</t>
        </is>
      </c>
      <c r="C425" s="8" t="inlineStr">
        <is>
          <t>五</t>
        </is>
      </c>
      <c r="D425" s="8" t="inlineStr"/>
      <c r="E425" s="9" t="n"/>
      <c r="F425" s="9" t="n"/>
      <c r="G425" s="10">
        <f>IF($E425="","空卡",IF($F425="","单卡","正常"))</f>
        <v/>
      </c>
      <c r="H425" s="11">
        <f>IF($G425="正常",ROUND(($F425-$E425)*1440,0),"")</f>
        <v/>
      </c>
      <c r="I425" s="12">
        <f>IF($G425="正常",$H425/60,"")</f>
        <v/>
      </c>
      <c r="J425" s="13">
        <f>IF($G425="正常",ROUND($H425/30,0)/2,"")</f>
        <v/>
      </c>
      <c r="K425" s="13">
        <f>IF($G425="正常",MIN($J425,12),"")</f>
        <v/>
      </c>
      <c r="L425" s="13">
        <f>IF($G425="正常",MAX($J425-12,0),"")</f>
        <v/>
      </c>
    </row>
    <row r="426">
      <c r="A426" s="8" t="inlineStr">
        <is>
          <t>廖荣萍</t>
        </is>
      </c>
      <c r="B426" s="8" t="inlineStr">
        <is>
          <t>8/22</t>
        </is>
      </c>
      <c r="C426" s="8" t="inlineStr">
        <is>
          <t>六</t>
        </is>
      </c>
      <c r="D426" s="8" t="inlineStr"/>
      <c r="E426" s="9" t="n"/>
      <c r="F426" s="9" t="n"/>
      <c r="G426" s="10">
        <f>IF($E426="","空卡",IF($F426="","单卡","正常"))</f>
        <v/>
      </c>
      <c r="H426" s="11">
        <f>IF($G426="正常",ROUND(($F426-$E426)*1440,0),"")</f>
        <v/>
      </c>
      <c r="I426" s="12">
        <f>IF($G426="正常",$H426/60,"")</f>
        <v/>
      </c>
      <c r="J426" s="13">
        <f>IF($G426="正常",ROUND($H426/30,0)/2,"")</f>
        <v/>
      </c>
      <c r="K426" s="13">
        <f>IF($G426="正常",MIN($J426,12),"")</f>
        <v/>
      </c>
      <c r="L426" s="13">
        <f>IF($G426="正常",MAX($J426-12,0),"")</f>
        <v/>
      </c>
    </row>
    <row r="427">
      <c r="A427" s="8" t="inlineStr">
        <is>
          <t>廖荣萍</t>
        </is>
      </c>
      <c r="B427" s="8" t="inlineStr">
        <is>
          <t>8/23</t>
        </is>
      </c>
      <c r="C427" s="8" t="inlineStr">
        <is>
          <t>日</t>
        </is>
      </c>
      <c r="D427" s="8" t="inlineStr"/>
      <c r="E427" s="9" t="n"/>
      <c r="F427" s="9" t="n"/>
      <c r="G427" s="10">
        <f>IF($E427="","空卡",IF($F427="","单卡","正常"))</f>
        <v/>
      </c>
      <c r="H427" s="11">
        <f>IF($G427="正常",ROUND(($F427-$E427)*1440,0),"")</f>
        <v/>
      </c>
      <c r="I427" s="12">
        <f>IF($G427="正常",$H427/60,"")</f>
        <v/>
      </c>
      <c r="J427" s="13">
        <f>IF($G427="正常",ROUND($H427/30,0)/2,"")</f>
        <v/>
      </c>
      <c r="K427" s="13">
        <f>IF($G427="正常",MIN($J427,12),"")</f>
        <v/>
      </c>
      <c r="L427" s="13">
        <f>IF($G427="正常",MAX($J427-12,0),"")</f>
        <v/>
      </c>
    </row>
    <row r="428">
      <c r="A428" s="3" t="inlineStr">
        <is>
          <t>廖荣萍</t>
        </is>
      </c>
      <c r="B428" s="3" t="inlineStr">
        <is>
          <t>8/24</t>
        </is>
      </c>
      <c r="C428" s="3" t="inlineStr">
        <is>
          <t>一</t>
        </is>
      </c>
      <c r="D428" s="3" t="inlineStr">
        <is>
          <t>06:44 16:35</t>
        </is>
      </c>
      <c r="E428" s="4" t="n">
        <v>0.2805555555555556</v>
      </c>
      <c r="F428" s="4" t="n">
        <v>0.6909722222222222</v>
      </c>
      <c r="G428" s="3">
        <f>IF($E428="","空卡",IF($F428="","单卡","正常"))</f>
        <v/>
      </c>
      <c r="H428" s="5">
        <f>IF($G428="正常",ROUND(($F428-$E428)*1440,0),"")</f>
        <v/>
      </c>
      <c r="I428" s="6">
        <f>IF($G428="正常",$H428/60,"")</f>
        <v/>
      </c>
      <c r="J428" s="7">
        <f>IF($G428="正常",ROUND($H428/30,0)/2,"")</f>
        <v/>
      </c>
      <c r="K428" s="7">
        <f>IF($G428="正常",MIN($J428,12),"")</f>
        <v/>
      </c>
      <c r="L428" s="7">
        <f>IF($G428="正常",MAX($J428-12,0),"")</f>
        <v/>
      </c>
    </row>
    <row r="429">
      <c r="A429" s="8" t="inlineStr">
        <is>
          <t>廖荣萍</t>
        </is>
      </c>
      <c r="B429" s="8" t="inlineStr">
        <is>
          <t>8/25</t>
        </is>
      </c>
      <c r="C429" s="8" t="inlineStr">
        <is>
          <t>二</t>
        </is>
      </c>
      <c r="D429" s="8" t="inlineStr"/>
      <c r="E429" s="9" t="n"/>
      <c r="F429" s="9" t="n"/>
      <c r="G429" s="10">
        <f>IF($E429="","空卡",IF($F429="","单卡","正常"))</f>
        <v/>
      </c>
      <c r="H429" s="11">
        <f>IF($G429="正常",ROUND(($F429-$E429)*1440,0),"")</f>
        <v/>
      </c>
      <c r="I429" s="12">
        <f>IF($G429="正常",$H429/60,"")</f>
        <v/>
      </c>
      <c r="J429" s="13">
        <f>IF($G429="正常",ROUND($H429/30,0)/2,"")</f>
        <v/>
      </c>
      <c r="K429" s="13">
        <f>IF($G429="正常",MIN($J429,12),"")</f>
        <v/>
      </c>
      <c r="L429" s="13">
        <f>IF($G429="正常",MAX($J429-12,0),"")</f>
        <v/>
      </c>
    </row>
    <row r="430">
      <c r="A430" s="3" t="inlineStr">
        <is>
          <t>廖荣萍</t>
        </is>
      </c>
      <c r="B430" s="3" t="inlineStr">
        <is>
          <t>8/26</t>
        </is>
      </c>
      <c r="C430" s="3" t="inlineStr">
        <is>
          <t>三</t>
        </is>
      </c>
      <c r="D430" s="3" t="inlineStr">
        <is>
          <t>07:46 18:59</t>
        </is>
      </c>
      <c r="E430" s="4" t="n">
        <v>0.3236111111111111</v>
      </c>
      <c r="F430" s="4" t="n">
        <v>0.7909722222222222</v>
      </c>
      <c r="G430" s="3">
        <f>IF($E430="","空卡",IF($F430="","单卡","正常"))</f>
        <v/>
      </c>
      <c r="H430" s="5">
        <f>IF($G430="正常",ROUND(($F430-$E430)*1440,0),"")</f>
        <v/>
      </c>
      <c r="I430" s="6">
        <f>IF($G430="正常",$H430/60,"")</f>
        <v/>
      </c>
      <c r="J430" s="7">
        <f>IF($G430="正常",ROUND($H430/30,0)/2,"")</f>
        <v/>
      </c>
      <c r="K430" s="7">
        <f>IF($G430="正常",MIN($J430,12),"")</f>
        <v/>
      </c>
      <c r="L430" s="7">
        <f>IF($G430="正常",MAX($J430-12,0),"")</f>
        <v/>
      </c>
    </row>
    <row r="431">
      <c r="A431" s="3" t="inlineStr">
        <is>
          <t>廖荣萍</t>
        </is>
      </c>
      <c r="B431" s="3" t="inlineStr">
        <is>
          <t>8/27</t>
        </is>
      </c>
      <c r="C431" s="3" t="inlineStr">
        <is>
          <t>四</t>
        </is>
      </c>
      <c r="D431" s="3" t="inlineStr">
        <is>
          <t>07:40 19:08</t>
        </is>
      </c>
      <c r="E431" s="4" t="n">
        <v>0.3194444444444444</v>
      </c>
      <c r="F431" s="4" t="n">
        <v>0.7972222222222223</v>
      </c>
      <c r="G431" s="3">
        <f>IF($E431="","空卡",IF($F431="","单卡","正常"))</f>
        <v/>
      </c>
      <c r="H431" s="5">
        <f>IF($G431="正常",ROUND(($F431-$E431)*1440,0),"")</f>
        <v/>
      </c>
      <c r="I431" s="6">
        <f>IF($G431="正常",$H431/60,"")</f>
        <v/>
      </c>
      <c r="J431" s="7">
        <f>IF($G431="正常",ROUND($H431/30,0)/2,"")</f>
        <v/>
      </c>
      <c r="K431" s="7">
        <f>IF($G431="正常",MIN($J431,12),"")</f>
        <v/>
      </c>
      <c r="L431" s="7">
        <f>IF($G431="正常",MAX($J431-12,0),"")</f>
        <v/>
      </c>
    </row>
    <row r="432">
      <c r="A432" s="3" t="inlineStr">
        <is>
          <t>廖荣萍</t>
        </is>
      </c>
      <c r="B432" s="3" t="inlineStr">
        <is>
          <t>8/28</t>
        </is>
      </c>
      <c r="C432" s="3" t="inlineStr">
        <is>
          <t>五</t>
        </is>
      </c>
      <c r="D432" s="3" t="inlineStr">
        <is>
          <t>07:49 19:32</t>
        </is>
      </c>
      <c r="E432" s="4" t="n">
        <v>0.3256944444444445</v>
      </c>
      <c r="F432" s="4" t="n">
        <v>0.8138888888888889</v>
      </c>
      <c r="G432" s="3">
        <f>IF($E432="","空卡",IF($F432="","单卡","正常"))</f>
        <v/>
      </c>
      <c r="H432" s="5">
        <f>IF($G432="正常",ROUND(($F432-$E432)*1440,0),"")</f>
        <v/>
      </c>
      <c r="I432" s="6">
        <f>IF($G432="正常",$H432/60,"")</f>
        <v/>
      </c>
      <c r="J432" s="7">
        <f>IF($G432="正常",ROUND($H432/30,0)/2,"")</f>
        <v/>
      </c>
      <c r="K432" s="7">
        <f>IF($G432="正常",MIN($J432,12),"")</f>
        <v/>
      </c>
      <c r="L432" s="7">
        <f>IF($G432="正常",MAX($J432-12,0),"")</f>
        <v/>
      </c>
    </row>
    <row r="433">
      <c r="A433" s="3" t="inlineStr">
        <is>
          <t>廖荣萍</t>
        </is>
      </c>
      <c r="B433" s="3" t="inlineStr">
        <is>
          <t>8/29</t>
        </is>
      </c>
      <c r="C433" s="3" t="inlineStr">
        <is>
          <t>六</t>
        </is>
      </c>
      <c r="D433" s="3" t="inlineStr">
        <is>
          <t>07:46 21:58</t>
        </is>
      </c>
      <c r="E433" s="4" t="n">
        <v>0.3236111111111111</v>
      </c>
      <c r="F433" s="4" t="n">
        <v>0.9152777777777777</v>
      </c>
      <c r="G433" s="3">
        <f>IF($E433="","空卡",IF($F433="","单卡","正常"))</f>
        <v/>
      </c>
      <c r="H433" s="5">
        <f>IF($G433="正常",ROUND(($F433-$E433)*1440,0),"")</f>
        <v/>
      </c>
      <c r="I433" s="6">
        <f>IF($G433="正常",$H433/60,"")</f>
        <v/>
      </c>
      <c r="J433" s="7">
        <f>IF($G433="正常",ROUND($H433/30,0)/2,"")</f>
        <v/>
      </c>
      <c r="K433" s="7">
        <f>IF($G433="正常",MIN($J433,12),"")</f>
        <v/>
      </c>
      <c r="L433" s="7">
        <f>IF($G433="正常",MAX($J433-12,0),"")</f>
        <v/>
      </c>
    </row>
    <row r="434">
      <c r="A434" s="8" t="inlineStr">
        <is>
          <t>廖荣萍</t>
        </is>
      </c>
      <c r="B434" s="8" t="inlineStr">
        <is>
          <t>8/30</t>
        </is>
      </c>
      <c r="C434" s="8" t="inlineStr">
        <is>
          <t>日</t>
        </is>
      </c>
      <c r="D434" s="8" t="inlineStr"/>
      <c r="E434" s="9" t="n"/>
      <c r="F434" s="9" t="n"/>
      <c r="G434" s="10">
        <f>IF($E434="","空卡",IF($F434="","单卡","正常"))</f>
        <v/>
      </c>
      <c r="H434" s="11">
        <f>IF($G434="正常",ROUND(($F434-$E434)*1440,0),"")</f>
        <v/>
      </c>
      <c r="I434" s="12">
        <f>IF($G434="正常",$H434/60,"")</f>
        <v/>
      </c>
      <c r="J434" s="13">
        <f>IF($G434="正常",ROUND($H434/30,0)/2,"")</f>
        <v/>
      </c>
      <c r="K434" s="13">
        <f>IF($G434="正常",MIN($J434,12),"")</f>
        <v/>
      </c>
      <c r="L434" s="13">
        <f>IF($G434="正常",MAX($J434-12,0),"")</f>
        <v/>
      </c>
    </row>
    <row r="435">
      <c r="A435" s="8" t="inlineStr">
        <is>
          <t>廖荣萍</t>
        </is>
      </c>
      <c r="B435" s="8" t="inlineStr">
        <is>
          <t>8/31</t>
        </is>
      </c>
      <c r="C435" s="8" t="inlineStr">
        <is>
          <t>一</t>
        </is>
      </c>
      <c r="D435" s="8" t="inlineStr"/>
      <c r="E435" s="9" t="n"/>
      <c r="F435" s="9" t="n"/>
      <c r="G435" s="10">
        <f>IF($E435="","空卡",IF($F435="","单卡","正常"))</f>
        <v/>
      </c>
      <c r="H435" s="11">
        <f>IF($G435="正常",ROUND(($F435-$E435)*1440,0),"")</f>
        <v/>
      </c>
      <c r="I435" s="12">
        <f>IF($G435="正常",$H435/60,"")</f>
        <v/>
      </c>
      <c r="J435" s="13">
        <f>IF($G435="正常",ROUND($H435/30,0)/2,"")</f>
        <v/>
      </c>
      <c r="K435" s="13">
        <f>IF($G435="正常",MIN($J435,12),"")</f>
        <v/>
      </c>
      <c r="L435" s="13">
        <f>IF($G435="正常",MAX($J435-12,0),"")</f>
        <v/>
      </c>
    </row>
    <row r="436">
      <c r="A436" s="8" t="inlineStr">
        <is>
          <t>骆廷友</t>
        </is>
      </c>
      <c r="B436" s="8" t="inlineStr">
        <is>
          <t>8/1</t>
        </is>
      </c>
      <c r="C436" s="8" t="inlineStr">
        <is>
          <t>六</t>
        </is>
      </c>
      <c r="D436" s="8" t="inlineStr"/>
      <c r="E436" s="9" t="n"/>
      <c r="F436" s="9" t="n"/>
      <c r="G436" s="10">
        <f>IF($E436="","空卡",IF($F436="","单卡","正常"))</f>
        <v/>
      </c>
      <c r="H436" s="11">
        <f>IF($G436="正常",ROUND(($F436-$E436)*1440,0),"")</f>
        <v/>
      </c>
      <c r="I436" s="12">
        <f>IF($G436="正常",$H436/60,"")</f>
        <v/>
      </c>
      <c r="J436" s="13">
        <f>IF($G436="正常",ROUND($H436/30,0)/2,"")</f>
        <v/>
      </c>
      <c r="K436" s="13">
        <f>IF($G436="正常",MIN($J436,12),"")</f>
        <v/>
      </c>
      <c r="L436" s="13">
        <f>IF($G436="正常",MAX($J436-12,0),"")</f>
        <v/>
      </c>
    </row>
    <row r="437">
      <c r="A437" s="8" t="inlineStr">
        <is>
          <t>骆廷友</t>
        </is>
      </c>
      <c r="B437" s="8" t="inlineStr">
        <is>
          <t>8/2</t>
        </is>
      </c>
      <c r="C437" s="8" t="inlineStr">
        <is>
          <t>日</t>
        </is>
      </c>
      <c r="D437" s="8" t="inlineStr"/>
      <c r="E437" s="9" t="n"/>
      <c r="F437" s="9" t="n"/>
      <c r="G437" s="10">
        <f>IF($E437="","空卡",IF($F437="","单卡","正常"))</f>
        <v/>
      </c>
      <c r="H437" s="11">
        <f>IF($G437="正常",ROUND(($F437-$E437)*1440,0),"")</f>
        <v/>
      </c>
      <c r="I437" s="12">
        <f>IF($G437="正常",$H437/60,"")</f>
        <v/>
      </c>
      <c r="J437" s="13">
        <f>IF($G437="正常",ROUND($H437/30,0)/2,"")</f>
        <v/>
      </c>
      <c r="K437" s="13">
        <f>IF($G437="正常",MIN($J437,12),"")</f>
        <v/>
      </c>
      <c r="L437" s="13">
        <f>IF($G437="正常",MAX($J437-12,0),"")</f>
        <v/>
      </c>
    </row>
    <row r="438">
      <c r="A438" s="8" t="inlineStr">
        <is>
          <t>骆廷友</t>
        </is>
      </c>
      <c r="B438" s="8" t="inlineStr">
        <is>
          <t>8/3</t>
        </is>
      </c>
      <c r="C438" s="8" t="inlineStr">
        <is>
          <t>一</t>
        </is>
      </c>
      <c r="D438" s="8" t="inlineStr"/>
      <c r="E438" s="9" t="n"/>
      <c r="F438" s="9" t="n"/>
      <c r="G438" s="10">
        <f>IF($E438="","空卡",IF($F438="","单卡","正常"))</f>
        <v/>
      </c>
      <c r="H438" s="11">
        <f>IF($G438="正常",ROUND(($F438-$E438)*1440,0),"")</f>
        <v/>
      </c>
      <c r="I438" s="12">
        <f>IF($G438="正常",$H438/60,"")</f>
        <v/>
      </c>
      <c r="J438" s="13">
        <f>IF($G438="正常",ROUND($H438/30,0)/2,"")</f>
        <v/>
      </c>
      <c r="K438" s="13">
        <f>IF($G438="正常",MIN($J438,12),"")</f>
        <v/>
      </c>
      <c r="L438" s="13">
        <f>IF($G438="正常",MAX($J438-12,0),"")</f>
        <v/>
      </c>
    </row>
    <row r="439">
      <c r="A439" s="8" t="inlineStr">
        <is>
          <t>骆廷友</t>
        </is>
      </c>
      <c r="B439" s="8" t="inlineStr">
        <is>
          <t>8/4</t>
        </is>
      </c>
      <c r="C439" s="8" t="inlineStr">
        <is>
          <t>二</t>
        </is>
      </c>
      <c r="D439" s="8" t="inlineStr"/>
      <c r="E439" s="9" t="n"/>
      <c r="F439" s="9" t="n"/>
      <c r="G439" s="10">
        <f>IF($E439="","空卡",IF($F439="","单卡","正常"))</f>
        <v/>
      </c>
      <c r="H439" s="11">
        <f>IF($G439="正常",ROUND(($F439-$E439)*1440,0),"")</f>
        <v/>
      </c>
      <c r="I439" s="12">
        <f>IF($G439="正常",$H439/60,"")</f>
        <v/>
      </c>
      <c r="J439" s="13">
        <f>IF($G439="正常",ROUND($H439/30,0)/2,"")</f>
        <v/>
      </c>
      <c r="K439" s="13">
        <f>IF($G439="正常",MIN($J439,12),"")</f>
        <v/>
      </c>
      <c r="L439" s="13">
        <f>IF($G439="正常",MAX($J439-12,0),"")</f>
        <v/>
      </c>
    </row>
    <row r="440">
      <c r="A440" s="8" t="inlineStr">
        <is>
          <t>骆廷友</t>
        </is>
      </c>
      <c r="B440" s="8" t="inlineStr">
        <is>
          <t>8/5</t>
        </is>
      </c>
      <c r="C440" s="8" t="inlineStr">
        <is>
          <t>三</t>
        </is>
      </c>
      <c r="D440" s="8" t="inlineStr"/>
      <c r="E440" s="9" t="n"/>
      <c r="F440" s="9" t="n"/>
      <c r="G440" s="10">
        <f>IF($E440="","空卡",IF($F440="","单卡","正常"))</f>
        <v/>
      </c>
      <c r="H440" s="11">
        <f>IF($G440="正常",ROUND(($F440-$E440)*1440,0),"")</f>
        <v/>
      </c>
      <c r="I440" s="12">
        <f>IF($G440="正常",$H440/60,"")</f>
        <v/>
      </c>
      <c r="J440" s="13">
        <f>IF($G440="正常",ROUND($H440/30,0)/2,"")</f>
        <v/>
      </c>
      <c r="K440" s="13">
        <f>IF($G440="正常",MIN($J440,12),"")</f>
        <v/>
      </c>
      <c r="L440" s="13">
        <f>IF($G440="正常",MAX($J440-12,0),"")</f>
        <v/>
      </c>
    </row>
    <row r="441">
      <c r="A441" s="8" t="inlineStr">
        <is>
          <t>骆廷友</t>
        </is>
      </c>
      <c r="B441" s="8" t="inlineStr">
        <is>
          <t>8/6</t>
        </is>
      </c>
      <c r="C441" s="8" t="inlineStr">
        <is>
          <t>四</t>
        </is>
      </c>
      <c r="D441" s="8" t="inlineStr"/>
      <c r="E441" s="9" t="n"/>
      <c r="F441" s="9" t="n"/>
      <c r="G441" s="10">
        <f>IF($E441="","空卡",IF($F441="","单卡","正常"))</f>
        <v/>
      </c>
      <c r="H441" s="11">
        <f>IF($G441="正常",ROUND(($F441-$E441)*1440,0),"")</f>
        <v/>
      </c>
      <c r="I441" s="12">
        <f>IF($G441="正常",$H441/60,"")</f>
        <v/>
      </c>
      <c r="J441" s="13">
        <f>IF($G441="正常",ROUND($H441/30,0)/2,"")</f>
        <v/>
      </c>
      <c r="K441" s="13">
        <f>IF($G441="正常",MIN($J441,12),"")</f>
        <v/>
      </c>
      <c r="L441" s="13">
        <f>IF($G441="正常",MAX($J441-12,0),"")</f>
        <v/>
      </c>
    </row>
    <row r="442">
      <c r="A442" s="8" t="inlineStr">
        <is>
          <t>骆廷友</t>
        </is>
      </c>
      <c r="B442" s="8" t="inlineStr">
        <is>
          <t>8/7</t>
        </is>
      </c>
      <c r="C442" s="8" t="inlineStr">
        <is>
          <t>五</t>
        </is>
      </c>
      <c r="D442" s="8" t="inlineStr"/>
      <c r="E442" s="9" t="n"/>
      <c r="F442" s="9" t="n"/>
      <c r="G442" s="10">
        <f>IF($E442="","空卡",IF($F442="","单卡","正常"))</f>
        <v/>
      </c>
      <c r="H442" s="11">
        <f>IF($G442="正常",ROUND(($F442-$E442)*1440,0),"")</f>
        <v/>
      </c>
      <c r="I442" s="12">
        <f>IF($G442="正常",$H442/60,"")</f>
        <v/>
      </c>
      <c r="J442" s="13">
        <f>IF($G442="正常",ROUND($H442/30,0)/2,"")</f>
        <v/>
      </c>
      <c r="K442" s="13">
        <f>IF($G442="正常",MIN($J442,12),"")</f>
        <v/>
      </c>
      <c r="L442" s="13">
        <f>IF($G442="正常",MAX($J442-12,0),"")</f>
        <v/>
      </c>
    </row>
    <row r="443">
      <c r="A443" s="8" t="inlineStr">
        <is>
          <t>骆廷友</t>
        </is>
      </c>
      <c r="B443" s="8" t="inlineStr">
        <is>
          <t>8/8</t>
        </is>
      </c>
      <c r="C443" s="8" t="inlineStr">
        <is>
          <t>六</t>
        </is>
      </c>
      <c r="D443" s="8" t="inlineStr"/>
      <c r="E443" s="9" t="n"/>
      <c r="F443" s="9" t="n"/>
      <c r="G443" s="10">
        <f>IF($E443="","空卡",IF($F443="","单卡","正常"))</f>
        <v/>
      </c>
      <c r="H443" s="11">
        <f>IF($G443="正常",ROUND(($F443-$E443)*1440,0),"")</f>
        <v/>
      </c>
      <c r="I443" s="12">
        <f>IF($G443="正常",$H443/60,"")</f>
        <v/>
      </c>
      <c r="J443" s="13">
        <f>IF($G443="正常",ROUND($H443/30,0)/2,"")</f>
        <v/>
      </c>
      <c r="K443" s="13">
        <f>IF($G443="正常",MIN($J443,12),"")</f>
        <v/>
      </c>
      <c r="L443" s="13">
        <f>IF($G443="正常",MAX($J443-12,0),"")</f>
        <v/>
      </c>
    </row>
    <row r="444">
      <c r="A444" s="8" t="inlineStr">
        <is>
          <t>骆廷友</t>
        </is>
      </c>
      <c r="B444" s="8" t="inlineStr">
        <is>
          <t>8/9</t>
        </is>
      </c>
      <c r="C444" s="8" t="inlineStr">
        <is>
          <t>日</t>
        </is>
      </c>
      <c r="D444" s="8" t="inlineStr"/>
      <c r="E444" s="9" t="n"/>
      <c r="F444" s="9" t="n"/>
      <c r="G444" s="10">
        <f>IF($E444="","空卡",IF($F444="","单卡","正常"))</f>
        <v/>
      </c>
      <c r="H444" s="11">
        <f>IF($G444="正常",ROUND(($F444-$E444)*1440,0),"")</f>
        <v/>
      </c>
      <c r="I444" s="12">
        <f>IF($G444="正常",$H444/60,"")</f>
        <v/>
      </c>
      <c r="J444" s="13">
        <f>IF($G444="正常",ROUND($H444/30,0)/2,"")</f>
        <v/>
      </c>
      <c r="K444" s="13">
        <f>IF($G444="正常",MIN($J444,12),"")</f>
        <v/>
      </c>
      <c r="L444" s="13">
        <f>IF($G444="正常",MAX($J444-12,0),"")</f>
        <v/>
      </c>
    </row>
    <row r="445">
      <c r="A445" s="8" t="inlineStr">
        <is>
          <t>骆廷友</t>
        </is>
      </c>
      <c r="B445" s="8" t="inlineStr">
        <is>
          <t>8/10</t>
        </is>
      </c>
      <c r="C445" s="8" t="inlineStr">
        <is>
          <t>一</t>
        </is>
      </c>
      <c r="D445" s="8" t="inlineStr"/>
      <c r="E445" s="9" t="n"/>
      <c r="F445" s="9" t="n"/>
      <c r="G445" s="10">
        <f>IF($E445="","空卡",IF($F445="","单卡","正常"))</f>
        <v/>
      </c>
      <c r="H445" s="11">
        <f>IF($G445="正常",ROUND(($F445-$E445)*1440,0),"")</f>
        <v/>
      </c>
      <c r="I445" s="12">
        <f>IF($G445="正常",$H445/60,"")</f>
        <v/>
      </c>
      <c r="J445" s="13">
        <f>IF($G445="正常",ROUND($H445/30,0)/2,"")</f>
        <v/>
      </c>
      <c r="K445" s="13">
        <f>IF($G445="正常",MIN($J445,12),"")</f>
        <v/>
      </c>
      <c r="L445" s="13">
        <f>IF($G445="正常",MAX($J445-12,0),"")</f>
        <v/>
      </c>
    </row>
    <row r="446">
      <c r="A446" s="8" t="inlineStr">
        <is>
          <t>骆廷友</t>
        </is>
      </c>
      <c r="B446" s="8" t="inlineStr">
        <is>
          <t>8/11</t>
        </is>
      </c>
      <c r="C446" s="8" t="inlineStr">
        <is>
          <t>二</t>
        </is>
      </c>
      <c r="D446" s="8" t="inlineStr"/>
      <c r="E446" s="9" t="n"/>
      <c r="F446" s="9" t="n"/>
      <c r="G446" s="10">
        <f>IF($E446="","空卡",IF($F446="","单卡","正常"))</f>
        <v/>
      </c>
      <c r="H446" s="11">
        <f>IF($G446="正常",ROUND(($F446-$E446)*1440,0),"")</f>
        <v/>
      </c>
      <c r="I446" s="12">
        <f>IF($G446="正常",$H446/60,"")</f>
        <v/>
      </c>
      <c r="J446" s="13">
        <f>IF($G446="正常",ROUND($H446/30,0)/2,"")</f>
        <v/>
      </c>
      <c r="K446" s="13">
        <f>IF($G446="正常",MIN($J446,12),"")</f>
        <v/>
      </c>
      <c r="L446" s="13">
        <f>IF($G446="正常",MAX($J446-12,0),"")</f>
        <v/>
      </c>
    </row>
    <row r="447">
      <c r="A447" s="8" t="inlineStr">
        <is>
          <t>骆廷友</t>
        </is>
      </c>
      <c r="B447" s="8" t="inlineStr">
        <is>
          <t>8/12</t>
        </is>
      </c>
      <c r="C447" s="8" t="inlineStr">
        <is>
          <t>三</t>
        </is>
      </c>
      <c r="D447" s="8" t="inlineStr"/>
      <c r="E447" s="9" t="n"/>
      <c r="F447" s="9" t="n"/>
      <c r="G447" s="10">
        <f>IF($E447="","空卡",IF($F447="","单卡","正常"))</f>
        <v/>
      </c>
      <c r="H447" s="11">
        <f>IF($G447="正常",ROUND(($F447-$E447)*1440,0),"")</f>
        <v/>
      </c>
      <c r="I447" s="12">
        <f>IF($G447="正常",$H447/60,"")</f>
        <v/>
      </c>
      <c r="J447" s="13">
        <f>IF($G447="正常",ROUND($H447/30,0)/2,"")</f>
        <v/>
      </c>
      <c r="K447" s="13">
        <f>IF($G447="正常",MIN($J447,12),"")</f>
        <v/>
      </c>
      <c r="L447" s="13">
        <f>IF($G447="正常",MAX($J447-12,0),"")</f>
        <v/>
      </c>
    </row>
    <row r="448">
      <c r="A448" s="8" t="inlineStr">
        <is>
          <t>骆廷友</t>
        </is>
      </c>
      <c r="B448" s="8" t="inlineStr">
        <is>
          <t>8/13</t>
        </is>
      </c>
      <c r="C448" s="8" t="inlineStr">
        <is>
          <t>四</t>
        </is>
      </c>
      <c r="D448" s="8" t="inlineStr"/>
      <c r="E448" s="9" t="n"/>
      <c r="F448" s="9" t="n"/>
      <c r="G448" s="10">
        <f>IF($E448="","空卡",IF($F448="","单卡","正常"))</f>
        <v/>
      </c>
      <c r="H448" s="11">
        <f>IF($G448="正常",ROUND(($F448-$E448)*1440,0),"")</f>
        <v/>
      </c>
      <c r="I448" s="12">
        <f>IF($G448="正常",$H448/60,"")</f>
        <v/>
      </c>
      <c r="J448" s="13">
        <f>IF($G448="正常",ROUND($H448/30,0)/2,"")</f>
        <v/>
      </c>
      <c r="K448" s="13">
        <f>IF($G448="正常",MIN($J448,12),"")</f>
        <v/>
      </c>
      <c r="L448" s="13">
        <f>IF($G448="正常",MAX($J448-12,0),"")</f>
        <v/>
      </c>
    </row>
    <row r="449">
      <c r="A449" s="8" t="inlineStr">
        <is>
          <t>骆廷友</t>
        </is>
      </c>
      <c r="B449" s="8" t="inlineStr">
        <is>
          <t>8/14</t>
        </is>
      </c>
      <c r="C449" s="8" t="inlineStr">
        <is>
          <t>五</t>
        </is>
      </c>
      <c r="D449" s="8" t="inlineStr"/>
      <c r="E449" s="9" t="n"/>
      <c r="F449" s="9" t="n"/>
      <c r="G449" s="10">
        <f>IF($E449="","空卡",IF($F449="","单卡","正常"))</f>
        <v/>
      </c>
      <c r="H449" s="11">
        <f>IF($G449="正常",ROUND(($F449-$E449)*1440,0),"")</f>
        <v/>
      </c>
      <c r="I449" s="12">
        <f>IF($G449="正常",$H449/60,"")</f>
        <v/>
      </c>
      <c r="J449" s="13">
        <f>IF($G449="正常",ROUND($H449/30,0)/2,"")</f>
        <v/>
      </c>
      <c r="K449" s="13">
        <f>IF($G449="正常",MIN($J449,12),"")</f>
        <v/>
      </c>
      <c r="L449" s="13">
        <f>IF($G449="正常",MAX($J449-12,0),"")</f>
        <v/>
      </c>
    </row>
    <row r="450">
      <c r="A450" s="8" t="inlineStr">
        <is>
          <t>骆廷友</t>
        </is>
      </c>
      <c r="B450" s="8" t="inlineStr">
        <is>
          <t>8/15</t>
        </is>
      </c>
      <c r="C450" s="8" t="inlineStr">
        <is>
          <t>六</t>
        </is>
      </c>
      <c r="D450" s="8" t="inlineStr"/>
      <c r="E450" s="9" t="n"/>
      <c r="F450" s="9" t="n"/>
      <c r="G450" s="10">
        <f>IF($E450="","空卡",IF($F450="","单卡","正常"))</f>
        <v/>
      </c>
      <c r="H450" s="11">
        <f>IF($G450="正常",ROUND(($F450-$E450)*1440,0),"")</f>
        <v/>
      </c>
      <c r="I450" s="12">
        <f>IF($G450="正常",$H450/60,"")</f>
        <v/>
      </c>
      <c r="J450" s="13">
        <f>IF($G450="正常",ROUND($H450/30,0)/2,"")</f>
        <v/>
      </c>
      <c r="K450" s="13">
        <f>IF($G450="正常",MIN($J450,12),"")</f>
        <v/>
      </c>
      <c r="L450" s="13">
        <f>IF($G450="正常",MAX($J450-12,0),"")</f>
        <v/>
      </c>
    </row>
    <row r="451">
      <c r="A451" s="8" t="inlineStr">
        <is>
          <t>骆廷友</t>
        </is>
      </c>
      <c r="B451" s="8" t="inlineStr">
        <is>
          <t>8/16</t>
        </is>
      </c>
      <c r="C451" s="8" t="inlineStr">
        <is>
          <t>日</t>
        </is>
      </c>
      <c r="D451" s="8" t="inlineStr"/>
      <c r="E451" s="9" t="n"/>
      <c r="F451" s="9" t="n"/>
      <c r="G451" s="10">
        <f>IF($E451="","空卡",IF($F451="","单卡","正常"))</f>
        <v/>
      </c>
      <c r="H451" s="11">
        <f>IF($G451="正常",ROUND(($F451-$E451)*1440,0),"")</f>
        <v/>
      </c>
      <c r="I451" s="12">
        <f>IF($G451="正常",$H451/60,"")</f>
        <v/>
      </c>
      <c r="J451" s="13">
        <f>IF($G451="正常",ROUND($H451/30,0)/2,"")</f>
        <v/>
      </c>
      <c r="K451" s="13">
        <f>IF($G451="正常",MIN($J451,12),"")</f>
        <v/>
      </c>
      <c r="L451" s="13">
        <f>IF($G451="正常",MAX($J451-12,0),"")</f>
        <v/>
      </c>
    </row>
    <row r="452">
      <c r="A452" s="8" t="inlineStr">
        <is>
          <t>骆廷友</t>
        </is>
      </c>
      <c r="B452" s="8" t="inlineStr">
        <is>
          <t>8/17</t>
        </is>
      </c>
      <c r="C452" s="8" t="inlineStr">
        <is>
          <t>一</t>
        </is>
      </c>
      <c r="D452" s="8" t="inlineStr"/>
      <c r="E452" s="9" t="n"/>
      <c r="F452" s="9" t="n"/>
      <c r="G452" s="10">
        <f>IF($E452="","空卡",IF($F452="","单卡","正常"))</f>
        <v/>
      </c>
      <c r="H452" s="11">
        <f>IF($G452="正常",ROUND(($F452-$E452)*1440,0),"")</f>
        <v/>
      </c>
      <c r="I452" s="12">
        <f>IF($G452="正常",$H452/60,"")</f>
        <v/>
      </c>
      <c r="J452" s="13">
        <f>IF($G452="正常",ROUND($H452/30,0)/2,"")</f>
        <v/>
      </c>
      <c r="K452" s="13">
        <f>IF($G452="正常",MIN($J452,12),"")</f>
        <v/>
      </c>
      <c r="L452" s="13">
        <f>IF($G452="正常",MAX($J452-12,0),"")</f>
        <v/>
      </c>
    </row>
    <row r="453">
      <c r="A453" s="8" t="inlineStr">
        <is>
          <t>骆廷友</t>
        </is>
      </c>
      <c r="B453" s="8" t="inlineStr">
        <is>
          <t>8/18</t>
        </is>
      </c>
      <c r="C453" s="8" t="inlineStr">
        <is>
          <t>二</t>
        </is>
      </c>
      <c r="D453" s="8" t="inlineStr"/>
      <c r="E453" s="9" t="n"/>
      <c r="F453" s="9" t="n"/>
      <c r="G453" s="10">
        <f>IF($E453="","空卡",IF($F453="","单卡","正常"))</f>
        <v/>
      </c>
      <c r="H453" s="11">
        <f>IF($G453="正常",ROUND(($F453-$E453)*1440,0),"")</f>
        <v/>
      </c>
      <c r="I453" s="12">
        <f>IF($G453="正常",$H453/60,"")</f>
        <v/>
      </c>
      <c r="J453" s="13">
        <f>IF($G453="正常",ROUND($H453/30,0)/2,"")</f>
        <v/>
      </c>
      <c r="K453" s="13">
        <f>IF($G453="正常",MIN($J453,12),"")</f>
        <v/>
      </c>
      <c r="L453" s="13">
        <f>IF($G453="正常",MAX($J453-12,0),"")</f>
        <v/>
      </c>
    </row>
    <row r="454">
      <c r="A454" s="8" t="inlineStr">
        <is>
          <t>骆廷友</t>
        </is>
      </c>
      <c r="B454" s="8" t="inlineStr">
        <is>
          <t>8/19</t>
        </is>
      </c>
      <c r="C454" s="8" t="inlineStr">
        <is>
          <t>三</t>
        </is>
      </c>
      <c r="D454" s="8" t="inlineStr"/>
      <c r="E454" s="9" t="n"/>
      <c r="F454" s="9" t="n"/>
      <c r="G454" s="10">
        <f>IF($E454="","空卡",IF($F454="","单卡","正常"))</f>
        <v/>
      </c>
      <c r="H454" s="11">
        <f>IF($G454="正常",ROUND(($F454-$E454)*1440,0),"")</f>
        <v/>
      </c>
      <c r="I454" s="12">
        <f>IF($G454="正常",$H454/60,"")</f>
        <v/>
      </c>
      <c r="J454" s="13">
        <f>IF($G454="正常",ROUND($H454/30,0)/2,"")</f>
        <v/>
      </c>
      <c r="K454" s="13">
        <f>IF($G454="正常",MIN($J454,12),"")</f>
        <v/>
      </c>
      <c r="L454" s="13">
        <f>IF($G454="正常",MAX($J454-12,0),"")</f>
        <v/>
      </c>
    </row>
    <row r="455">
      <c r="A455" s="8" t="inlineStr">
        <is>
          <t>骆廷友</t>
        </is>
      </c>
      <c r="B455" s="8" t="inlineStr">
        <is>
          <t>8/20</t>
        </is>
      </c>
      <c r="C455" s="8" t="inlineStr">
        <is>
          <t>四</t>
        </is>
      </c>
      <c r="D455" s="8" t="inlineStr"/>
      <c r="E455" s="9" t="n"/>
      <c r="F455" s="9" t="n"/>
      <c r="G455" s="10">
        <f>IF($E455="","空卡",IF($F455="","单卡","正常"))</f>
        <v/>
      </c>
      <c r="H455" s="11">
        <f>IF($G455="正常",ROUND(($F455-$E455)*1440,0),"")</f>
        <v/>
      </c>
      <c r="I455" s="12">
        <f>IF($G455="正常",$H455/60,"")</f>
        <v/>
      </c>
      <c r="J455" s="13">
        <f>IF($G455="正常",ROUND($H455/30,0)/2,"")</f>
        <v/>
      </c>
      <c r="K455" s="13">
        <f>IF($G455="正常",MIN($J455,12),"")</f>
        <v/>
      </c>
      <c r="L455" s="13">
        <f>IF($G455="正常",MAX($J455-12,0),"")</f>
        <v/>
      </c>
    </row>
    <row r="456">
      <c r="A456" s="8" t="inlineStr">
        <is>
          <t>骆廷友</t>
        </is>
      </c>
      <c r="B456" s="8" t="inlineStr">
        <is>
          <t>8/21</t>
        </is>
      </c>
      <c r="C456" s="8" t="inlineStr">
        <is>
          <t>五</t>
        </is>
      </c>
      <c r="D456" s="8" t="inlineStr"/>
      <c r="E456" s="9" t="n"/>
      <c r="F456" s="9" t="n"/>
      <c r="G456" s="10">
        <f>IF($E456="","空卡",IF($F456="","单卡","正常"))</f>
        <v/>
      </c>
      <c r="H456" s="11">
        <f>IF($G456="正常",ROUND(($F456-$E456)*1440,0),"")</f>
        <v/>
      </c>
      <c r="I456" s="12">
        <f>IF($G456="正常",$H456/60,"")</f>
        <v/>
      </c>
      <c r="J456" s="13">
        <f>IF($G456="正常",ROUND($H456/30,0)/2,"")</f>
        <v/>
      </c>
      <c r="K456" s="13">
        <f>IF($G456="正常",MIN($J456,12),"")</f>
        <v/>
      </c>
      <c r="L456" s="13">
        <f>IF($G456="正常",MAX($J456-12,0),"")</f>
        <v/>
      </c>
    </row>
    <row r="457">
      <c r="A457" s="8" t="inlineStr">
        <is>
          <t>骆廷友</t>
        </is>
      </c>
      <c r="B457" s="8" t="inlineStr">
        <is>
          <t>8/22</t>
        </is>
      </c>
      <c r="C457" s="8" t="inlineStr">
        <is>
          <t>六</t>
        </is>
      </c>
      <c r="D457" s="8" t="inlineStr"/>
      <c r="E457" s="9" t="n"/>
      <c r="F457" s="9" t="n"/>
      <c r="G457" s="10">
        <f>IF($E457="","空卡",IF($F457="","单卡","正常"))</f>
        <v/>
      </c>
      <c r="H457" s="11">
        <f>IF($G457="正常",ROUND(($F457-$E457)*1440,0),"")</f>
        <v/>
      </c>
      <c r="I457" s="12">
        <f>IF($G457="正常",$H457/60,"")</f>
        <v/>
      </c>
      <c r="J457" s="13">
        <f>IF($G457="正常",ROUND($H457/30,0)/2,"")</f>
        <v/>
      </c>
      <c r="K457" s="13">
        <f>IF($G457="正常",MIN($J457,12),"")</f>
        <v/>
      </c>
      <c r="L457" s="13">
        <f>IF($G457="正常",MAX($J457-12,0),"")</f>
        <v/>
      </c>
    </row>
    <row r="458">
      <c r="A458" s="8" t="inlineStr">
        <is>
          <t>骆廷友</t>
        </is>
      </c>
      <c r="B458" s="8" t="inlineStr">
        <is>
          <t>8/23</t>
        </is>
      </c>
      <c r="C458" s="8" t="inlineStr">
        <is>
          <t>日</t>
        </is>
      </c>
      <c r="D458" s="8" t="inlineStr"/>
      <c r="E458" s="9" t="n"/>
      <c r="F458" s="9" t="n"/>
      <c r="G458" s="10">
        <f>IF($E458="","空卡",IF($F458="","单卡","正常"))</f>
        <v/>
      </c>
      <c r="H458" s="11">
        <f>IF($G458="正常",ROUND(($F458-$E458)*1440,0),"")</f>
        <v/>
      </c>
      <c r="I458" s="12">
        <f>IF($G458="正常",$H458/60,"")</f>
        <v/>
      </c>
      <c r="J458" s="13">
        <f>IF($G458="正常",ROUND($H458/30,0)/2,"")</f>
        <v/>
      </c>
      <c r="K458" s="13">
        <f>IF($G458="正常",MIN($J458,12),"")</f>
        <v/>
      </c>
      <c r="L458" s="13">
        <f>IF($G458="正常",MAX($J458-12,0),"")</f>
        <v/>
      </c>
    </row>
    <row r="459">
      <c r="A459" s="8" t="inlineStr">
        <is>
          <t>骆廷友</t>
        </is>
      </c>
      <c r="B459" s="8" t="inlineStr">
        <is>
          <t>8/24</t>
        </is>
      </c>
      <c r="C459" s="8" t="inlineStr">
        <is>
          <t>一</t>
        </is>
      </c>
      <c r="D459" s="8" t="inlineStr"/>
      <c r="E459" s="9" t="n"/>
      <c r="F459" s="9" t="n"/>
      <c r="G459" s="10">
        <f>IF($E459="","空卡",IF($F459="","单卡","正常"))</f>
        <v/>
      </c>
      <c r="H459" s="11">
        <f>IF($G459="正常",ROUND(($F459-$E459)*1440,0),"")</f>
        <v/>
      </c>
      <c r="I459" s="12">
        <f>IF($G459="正常",$H459/60,"")</f>
        <v/>
      </c>
      <c r="J459" s="13">
        <f>IF($G459="正常",ROUND($H459/30,0)/2,"")</f>
        <v/>
      </c>
      <c r="K459" s="13">
        <f>IF($G459="正常",MIN($J459,12),"")</f>
        <v/>
      </c>
      <c r="L459" s="13">
        <f>IF($G459="正常",MAX($J459-12,0),"")</f>
        <v/>
      </c>
    </row>
    <row r="460">
      <c r="A460" s="8" t="inlineStr">
        <is>
          <t>骆廷友</t>
        </is>
      </c>
      <c r="B460" s="8" t="inlineStr">
        <is>
          <t>8/25</t>
        </is>
      </c>
      <c r="C460" s="8" t="inlineStr">
        <is>
          <t>二</t>
        </is>
      </c>
      <c r="D460" s="8" t="inlineStr"/>
      <c r="E460" s="9" t="n"/>
      <c r="F460" s="9" t="n"/>
      <c r="G460" s="10">
        <f>IF($E460="","空卡",IF($F460="","单卡","正常"))</f>
        <v/>
      </c>
      <c r="H460" s="11">
        <f>IF($G460="正常",ROUND(($F460-$E460)*1440,0),"")</f>
        <v/>
      </c>
      <c r="I460" s="12">
        <f>IF($G460="正常",$H460/60,"")</f>
        <v/>
      </c>
      <c r="J460" s="13">
        <f>IF($G460="正常",ROUND($H460/30,0)/2,"")</f>
        <v/>
      </c>
      <c r="K460" s="13">
        <f>IF($G460="正常",MIN($J460,12),"")</f>
        <v/>
      </c>
      <c r="L460" s="13">
        <f>IF($G460="正常",MAX($J460-12,0),"")</f>
        <v/>
      </c>
    </row>
    <row r="461">
      <c r="A461" s="8" t="inlineStr">
        <is>
          <t>骆廷友</t>
        </is>
      </c>
      <c r="B461" s="8" t="inlineStr">
        <is>
          <t>8/26</t>
        </is>
      </c>
      <c r="C461" s="8" t="inlineStr">
        <is>
          <t>三</t>
        </is>
      </c>
      <c r="D461" s="8" t="inlineStr"/>
      <c r="E461" s="9" t="n"/>
      <c r="F461" s="9" t="n"/>
      <c r="G461" s="10">
        <f>IF($E461="","空卡",IF($F461="","单卡","正常"))</f>
        <v/>
      </c>
      <c r="H461" s="11">
        <f>IF($G461="正常",ROUND(($F461-$E461)*1440,0),"")</f>
        <v/>
      </c>
      <c r="I461" s="12">
        <f>IF($G461="正常",$H461/60,"")</f>
        <v/>
      </c>
      <c r="J461" s="13">
        <f>IF($G461="正常",ROUND($H461/30,0)/2,"")</f>
        <v/>
      </c>
      <c r="K461" s="13">
        <f>IF($G461="正常",MIN($J461,12),"")</f>
        <v/>
      </c>
      <c r="L461" s="13">
        <f>IF($G461="正常",MAX($J461-12,0),"")</f>
        <v/>
      </c>
    </row>
    <row r="462">
      <c r="A462" s="8" t="inlineStr">
        <is>
          <t>骆廷友</t>
        </is>
      </c>
      <c r="B462" s="8" t="inlineStr">
        <is>
          <t>8/27</t>
        </is>
      </c>
      <c r="C462" s="8" t="inlineStr">
        <is>
          <t>四</t>
        </is>
      </c>
      <c r="D462" s="8" t="inlineStr"/>
      <c r="E462" s="9" t="n"/>
      <c r="F462" s="9" t="n"/>
      <c r="G462" s="10">
        <f>IF($E462="","空卡",IF($F462="","单卡","正常"))</f>
        <v/>
      </c>
      <c r="H462" s="11">
        <f>IF($G462="正常",ROUND(($F462-$E462)*1440,0),"")</f>
        <v/>
      </c>
      <c r="I462" s="12">
        <f>IF($G462="正常",$H462/60,"")</f>
        <v/>
      </c>
      <c r="J462" s="13">
        <f>IF($G462="正常",ROUND($H462/30,0)/2,"")</f>
        <v/>
      </c>
      <c r="K462" s="13">
        <f>IF($G462="正常",MIN($J462,12),"")</f>
        <v/>
      </c>
      <c r="L462" s="13">
        <f>IF($G462="正常",MAX($J462-12,0),"")</f>
        <v/>
      </c>
    </row>
    <row r="463">
      <c r="A463" s="8" t="inlineStr">
        <is>
          <t>骆廷友</t>
        </is>
      </c>
      <c r="B463" s="8" t="inlineStr">
        <is>
          <t>8/28</t>
        </is>
      </c>
      <c r="C463" s="8" t="inlineStr">
        <is>
          <t>五</t>
        </is>
      </c>
      <c r="D463" s="8" t="inlineStr"/>
      <c r="E463" s="9" t="n"/>
      <c r="F463" s="9" t="n"/>
      <c r="G463" s="10">
        <f>IF($E463="","空卡",IF($F463="","单卡","正常"))</f>
        <v/>
      </c>
      <c r="H463" s="11">
        <f>IF($G463="正常",ROUND(($F463-$E463)*1440,0),"")</f>
        <v/>
      </c>
      <c r="I463" s="12">
        <f>IF($G463="正常",$H463/60,"")</f>
        <v/>
      </c>
      <c r="J463" s="13">
        <f>IF($G463="正常",ROUND($H463/30,0)/2,"")</f>
        <v/>
      </c>
      <c r="K463" s="13">
        <f>IF($G463="正常",MIN($J463,12),"")</f>
        <v/>
      </c>
      <c r="L463" s="13">
        <f>IF($G463="正常",MAX($J463-12,0),"")</f>
        <v/>
      </c>
    </row>
    <row r="464">
      <c r="A464" s="8" t="inlineStr">
        <is>
          <t>骆廷友</t>
        </is>
      </c>
      <c r="B464" s="8" t="inlineStr">
        <is>
          <t>8/29</t>
        </is>
      </c>
      <c r="C464" s="8" t="inlineStr">
        <is>
          <t>六</t>
        </is>
      </c>
      <c r="D464" s="8" t="inlineStr"/>
      <c r="E464" s="9" t="n"/>
      <c r="F464" s="9" t="n"/>
      <c r="G464" s="10">
        <f>IF($E464="","空卡",IF($F464="","单卡","正常"))</f>
        <v/>
      </c>
      <c r="H464" s="11">
        <f>IF($G464="正常",ROUND(($F464-$E464)*1440,0),"")</f>
        <v/>
      </c>
      <c r="I464" s="12">
        <f>IF($G464="正常",$H464/60,"")</f>
        <v/>
      </c>
      <c r="J464" s="13">
        <f>IF($G464="正常",ROUND($H464/30,0)/2,"")</f>
        <v/>
      </c>
      <c r="K464" s="13">
        <f>IF($G464="正常",MIN($J464,12),"")</f>
        <v/>
      </c>
      <c r="L464" s="13">
        <f>IF($G464="正常",MAX($J464-12,0),"")</f>
        <v/>
      </c>
    </row>
    <row r="465">
      <c r="A465" s="8" t="inlineStr">
        <is>
          <t>骆廷友</t>
        </is>
      </c>
      <c r="B465" s="8" t="inlineStr">
        <is>
          <t>8/30</t>
        </is>
      </c>
      <c r="C465" s="8" t="inlineStr">
        <is>
          <t>日</t>
        </is>
      </c>
      <c r="D465" s="8" t="inlineStr"/>
      <c r="E465" s="9" t="n"/>
      <c r="F465" s="9" t="n"/>
      <c r="G465" s="10">
        <f>IF($E465="","空卡",IF($F465="","单卡","正常"))</f>
        <v/>
      </c>
      <c r="H465" s="11">
        <f>IF($G465="正常",ROUND(($F465-$E465)*1440,0),"")</f>
        <v/>
      </c>
      <c r="I465" s="12">
        <f>IF($G465="正常",$H465/60,"")</f>
        <v/>
      </c>
      <c r="J465" s="13">
        <f>IF($G465="正常",ROUND($H465/30,0)/2,"")</f>
        <v/>
      </c>
      <c r="K465" s="13">
        <f>IF($G465="正常",MIN($J465,12),"")</f>
        <v/>
      </c>
      <c r="L465" s="13">
        <f>IF($G465="正常",MAX($J465-12,0),"")</f>
        <v/>
      </c>
    </row>
    <row r="466">
      <c r="A466" s="8" t="inlineStr">
        <is>
          <t>骆廷友</t>
        </is>
      </c>
      <c r="B466" s="8" t="inlineStr">
        <is>
          <t>8/31</t>
        </is>
      </c>
      <c r="C466" s="8" t="inlineStr">
        <is>
          <t>一</t>
        </is>
      </c>
      <c r="D466" s="8" t="inlineStr"/>
      <c r="E466" s="9" t="n"/>
      <c r="F466" s="9" t="n"/>
      <c r="G466" s="10">
        <f>IF($E466="","空卡",IF($F466="","单卡","正常"))</f>
        <v/>
      </c>
      <c r="H466" s="11">
        <f>IF($G466="正常",ROUND(($F466-$E466)*1440,0),"")</f>
        <v/>
      </c>
      <c r="I466" s="12">
        <f>IF($G466="正常",$H466/60,"")</f>
        <v/>
      </c>
      <c r="J466" s="13">
        <f>IF($G466="正常",ROUND($H466/30,0)/2,"")</f>
        <v/>
      </c>
      <c r="K466" s="13">
        <f>IF($G466="正常",MIN($J466,12),"")</f>
        <v/>
      </c>
      <c r="L466" s="13">
        <f>IF($G466="正常",MAX($J466-12,0),"")</f>
        <v/>
      </c>
    </row>
    <row r="467">
      <c r="A467" s="8" t="inlineStr">
        <is>
          <t>黄伟中</t>
        </is>
      </c>
      <c r="B467" s="8" t="inlineStr">
        <is>
          <t>8/1</t>
        </is>
      </c>
      <c r="C467" s="8" t="inlineStr">
        <is>
          <t>六</t>
        </is>
      </c>
      <c r="D467" s="8" t="inlineStr"/>
      <c r="E467" s="9" t="n"/>
      <c r="F467" s="9" t="n"/>
      <c r="G467" s="10">
        <f>IF($E467="","空卡",IF($F467="","单卡","正常"))</f>
        <v/>
      </c>
      <c r="H467" s="11">
        <f>IF($G467="正常",ROUND(($F467-$E467)*1440,0),"")</f>
        <v/>
      </c>
      <c r="I467" s="12">
        <f>IF($G467="正常",$H467/60,"")</f>
        <v/>
      </c>
      <c r="J467" s="13">
        <f>IF($G467="正常",ROUND($H467/30,0)/2,"")</f>
        <v/>
      </c>
      <c r="K467" s="13">
        <f>IF($G467="正常",MIN($J467,12),"")</f>
        <v/>
      </c>
      <c r="L467" s="13">
        <f>IF($G467="正常",MAX($J467-12,0),"")</f>
        <v/>
      </c>
    </row>
    <row r="468">
      <c r="A468" s="8" t="inlineStr">
        <is>
          <t>黄伟中</t>
        </is>
      </c>
      <c r="B468" s="8" t="inlineStr">
        <is>
          <t>8/2</t>
        </is>
      </c>
      <c r="C468" s="8" t="inlineStr">
        <is>
          <t>日</t>
        </is>
      </c>
      <c r="D468" s="8" t="inlineStr"/>
      <c r="E468" s="9" t="n"/>
      <c r="F468" s="9" t="n"/>
      <c r="G468" s="10">
        <f>IF($E468="","空卡",IF($F468="","单卡","正常"))</f>
        <v/>
      </c>
      <c r="H468" s="11">
        <f>IF($G468="正常",ROUND(($F468-$E468)*1440,0),"")</f>
        <v/>
      </c>
      <c r="I468" s="12">
        <f>IF($G468="正常",$H468/60,"")</f>
        <v/>
      </c>
      <c r="J468" s="13">
        <f>IF($G468="正常",ROUND($H468/30,0)/2,"")</f>
        <v/>
      </c>
      <c r="K468" s="13">
        <f>IF($G468="正常",MIN($J468,12),"")</f>
        <v/>
      </c>
      <c r="L468" s="13">
        <f>IF($G468="正常",MAX($J468-12,0),"")</f>
        <v/>
      </c>
    </row>
    <row r="469">
      <c r="A469" s="3" t="inlineStr">
        <is>
          <t>黄伟中</t>
        </is>
      </c>
      <c r="B469" s="3" t="inlineStr">
        <is>
          <t>8/3</t>
        </is>
      </c>
      <c r="C469" s="3" t="inlineStr">
        <is>
          <t>一</t>
        </is>
      </c>
      <c r="D469" s="3" t="inlineStr">
        <is>
          <t>08:22 15:31</t>
        </is>
      </c>
      <c r="E469" s="4" t="n">
        <v>0.3486111111111111</v>
      </c>
      <c r="F469" s="4" t="n">
        <v>0.6465277777777778</v>
      </c>
      <c r="G469" s="3">
        <f>IF($E469="","空卡",IF($F469="","单卡","正常"))</f>
        <v/>
      </c>
      <c r="H469" s="5">
        <f>IF($G469="正常",ROUND(($F469-$E469)*1440,0),"")</f>
        <v/>
      </c>
      <c r="I469" s="6">
        <f>IF($G469="正常",$H469/60,"")</f>
        <v/>
      </c>
      <c r="J469" s="7">
        <f>IF($G469="正常",ROUND($H469/30,0)/2,"")</f>
        <v/>
      </c>
      <c r="K469" s="7">
        <f>IF($G469="正常",MIN($J469,12),"")</f>
        <v/>
      </c>
      <c r="L469" s="7">
        <f>IF($G469="正常",MAX($J469-12,0),"")</f>
        <v/>
      </c>
    </row>
    <row r="470">
      <c r="A470" s="3" t="inlineStr">
        <is>
          <t>黄伟中</t>
        </is>
      </c>
      <c r="B470" s="3" t="inlineStr">
        <is>
          <t>8/4</t>
        </is>
      </c>
      <c r="C470" s="3" t="inlineStr">
        <is>
          <t>二</t>
        </is>
      </c>
      <c r="D470" s="3" t="inlineStr">
        <is>
          <t>08:56 19:01</t>
        </is>
      </c>
      <c r="E470" s="4" t="n">
        <v>0.3722222222222222</v>
      </c>
      <c r="F470" s="4" t="n">
        <v>0.7923611111111111</v>
      </c>
      <c r="G470" s="3">
        <f>IF($E470="","空卡",IF($F470="","单卡","正常"))</f>
        <v/>
      </c>
      <c r="H470" s="5">
        <f>IF($G470="正常",ROUND(($F470-$E470)*1440,0),"")</f>
        <v/>
      </c>
      <c r="I470" s="6">
        <f>IF($G470="正常",$H470/60,"")</f>
        <v/>
      </c>
      <c r="J470" s="7">
        <f>IF($G470="正常",ROUND($H470/30,0)/2,"")</f>
        <v/>
      </c>
      <c r="K470" s="7">
        <f>IF($G470="正常",MIN($J470,12),"")</f>
        <v/>
      </c>
      <c r="L470" s="7">
        <f>IF($G470="正常",MAX($J470-12,0),"")</f>
        <v/>
      </c>
    </row>
    <row r="471">
      <c r="A471" s="3" t="inlineStr">
        <is>
          <t>黄伟中</t>
        </is>
      </c>
      <c r="B471" s="3" t="inlineStr">
        <is>
          <t>8/5</t>
        </is>
      </c>
      <c r="C471" s="3" t="inlineStr">
        <is>
          <t>三</t>
        </is>
      </c>
      <c r="D471" s="3" t="inlineStr">
        <is>
          <t>09:44 19:31</t>
        </is>
      </c>
      <c r="E471" s="4" t="n">
        <v>0.4055555555555556</v>
      </c>
      <c r="F471" s="4" t="n">
        <v>0.8131944444444444</v>
      </c>
      <c r="G471" s="3">
        <f>IF($E471="","空卡",IF($F471="","单卡","正常"))</f>
        <v/>
      </c>
      <c r="H471" s="5">
        <f>IF($G471="正常",ROUND(($F471-$E471)*1440,0),"")</f>
        <v/>
      </c>
      <c r="I471" s="6">
        <f>IF($G471="正常",$H471/60,"")</f>
        <v/>
      </c>
      <c r="J471" s="7">
        <f>IF($G471="正常",ROUND($H471/30,0)/2,"")</f>
        <v/>
      </c>
      <c r="K471" s="7">
        <f>IF($G471="正常",MIN($J471,12),"")</f>
        <v/>
      </c>
      <c r="L471" s="7">
        <f>IF($G471="正常",MAX($J471-12,0),"")</f>
        <v/>
      </c>
    </row>
    <row r="472">
      <c r="A472" s="3" t="inlineStr">
        <is>
          <t>黄伟中</t>
        </is>
      </c>
      <c r="B472" s="3" t="inlineStr">
        <is>
          <t>8/6</t>
        </is>
      </c>
      <c r="C472" s="3" t="inlineStr">
        <is>
          <t>四</t>
        </is>
      </c>
      <c r="D472" s="3" t="inlineStr">
        <is>
          <t>08:53 19:01</t>
        </is>
      </c>
      <c r="E472" s="4" t="n">
        <v>0.3701388888888889</v>
      </c>
      <c r="F472" s="4" t="n">
        <v>0.7923611111111111</v>
      </c>
      <c r="G472" s="3">
        <f>IF($E472="","空卡",IF($F472="","单卡","正常"))</f>
        <v/>
      </c>
      <c r="H472" s="5">
        <f>IF($G472="正常",ROUND(($F472-$E472)*1440,0),"")</f>
        <v/>
      </c>
      <c r="I472" s="6">
        <f>IF($G472="正常",$H472/60,"")</f>
        <v/>
      </c>
      <c r="J472" s="7">
        <f>IF($G472="正常",ROUND($H472/30,0)/2,"")</f>
        <v/>
      </c>
      <c r="K472" s="7">
        <f>IF($G472="正常",MIN($J472,12),"")</f>
        <v/>
      </c>
      <c r="L472" s="7">
        <f>IF($G472="正常",MAX($J472-12,0),"")</f>
        <v/>
      </c>
    </row>
    <row r="473">
      <c r="A473" s="3" t="inlineStr">
        <is>
          <t>黄伟中</t>
        </is>
      </c>
      <c r="B473" s="3" t="inlineStr">
        <is>
          <t>8/7</t>
        </is>
      </c>
      <c r="C473" s="3" t="inlineStr">
        <is>
          <t>五</t>
        </is>
      </c>
      <c r="D473" s="3" t="inlineStr">
        <is>
          <t>07:50 19:30</t>
        </is>
      </c>
      <c r="E473" s="4" t="n">
        <v>0.3263888888888889</v>
      </c>
      <c r="F473" s="4" t="n">
        <v>0.8125</v>
      </c>
      <c r="G473" s="3">
        <f>IF($E473="","空卡",IF($F473="","单卡","正常"))</f>
        <v/>
      </c>
      <c r="H473" s="5">
        <f>IF($G473="正常",ROUND(($F473-$E473)*1440,0),"")</f>
        <v/>
      </c>
      <c r="I473" s="6">
        <f>IF($G473="正常",$H473/60,"")</f>
        <v/>
      </c>
      <c r="J473" s="7">
        <f>IF($G473="正常",ROUND($H473/30,0)/2,"")</f>
        <v/>
      </c>
      <c r="K473" s="7">
        <f>IF($G473="正常",MIN($J473,12),"")</f>
        <v/>
      </c>
      <c r="L473" s="7">
        <f>IF($G473="正常",MAX($J473-12,0),"")</f>
        <v/>
      </c>
    </row>
    <row r="474">
      <c r="A474" s="3" t="inlineStr">
        <is>
          <t>黄伟中</t>
        </is>
      </c>
      <c r="B474" s="3" t="inlineStr">
        <is>
          <t>8/8</t>
        </is>
      </c>
      <c r="C474" s="3" t="inlineStr">
        <is>
          <t>六</t>
        </is>
      </c>
      <c r="D474" s="3" t="inlineStr">
        <is>
          <t>08:33 19:30</t>
        </is>
      </c>
      <c r="E474" s="4" t="n">
        <v>0.35625</v>
      </c>
      <c r="F474" s="4" t="n">
        <v>0.8125</v>
      </c>
      <c r="G474" s="3">
        <f>IF($E474="","空卡",IF($F474="","单卡","正常"))</f>
        <v/>
      </c>
      <c r="H474" s="5">
        <f>IF($G474="正常",ROUND(($F474-$E474)*1440,0),"")</f>
        <v/>
      </c>
      <c r="I474" s="6">
        <f>IF($G474="正常",$H474/60,"")</f>
        <v/>
      </c>
      <c r="J474" s="7">
        <f>IF($G474="正常",ROUND($H474/30,0)/2,"")</f>
        <v/>
      </c>
      <c r="K474" s="7">
        <f>IF($G474="正常",MIN($J474,12),"")</f>
        <v/>
      </c>
      <c r="L474" s="7">
        <f>IF($G474="正常",MAX($J474-12,0),"")</f>
        <v/>
      </c>
    </row>
    <row r="475">
      <c r="A475" s="8" t="inlineStr">
        <is>
          <t>黄伟中</t>
        </is>
      </c>
      <c r="B475" s="8" t="inlineStr">
        <is>
          <t>8/9</t>
        </is>
      </c>
      <c r="C475" s="8" t="inlineStr">
        <is>
          <t>日</t>
        </is>
      </c>
      <c r="D475" s="8" t="inlineStr"/>
      <c r="E475" s="9" t="n"/>
      <c r="F475" s="9" t="n"/>
      <c r="G475" s="10">
        <f>IF($E475="","空卡",IF($F475="","单卡","正常"))</f>
        <v/>
      </c>
      <c r="H475" s="11">
        <f>IF($G475="正常",ROUND(($F475-$E475)*1440,0),"")</f>
        <v/>
      </c>
      <c r="I475" s="12">
        <f>IF($G475="正常",$H475/60,"")</f>
        <v/>
      </c>
      <c r="J475" s="13">
        <f>IF($G475="正常",ROUND($H475/30,0)/2,"")</f>
        <v/>
      </c>
      <c r="K475" s="13">
        <f>IF($G475="正常",MIN($J475,12),"")</f>
        <v/>
      </c>
      <c r="L475" s="13">
        <f>IF($G475="正常",MAX($J475-12,0),"")</f>
        <v/>
      </c>
    </row>
    <row r="476">
      <c r="A476" s="8" t="inlineStr">
        <is>
          <t>黄伟中</t>
        </is>
      </c>
      <c r="B476" s="8" t="inlineStr">
        <is>
          <t>8/10</t>
        </is>
      </c>
      <c r="C476" s="8" t="inlineStr">
        <is>
          <t>一</t>
        </is>
      </c>
      <c r="D476" s="8" t="inlineStr"/>
      <c r="E476" s="9" t="n"/>
      <c r="F476" s="9" t="n"/>
      <c r="G476" s="10">
        <f>IF($E476="","空卡",IF($F476="","单卡","正常"))</f>
        <v/>
      </c>
      <c r="H476" s="11">
        <f>IF($G476="正常",ROUND(($F476-$E476)*1440,0),"")</f>
        <v/>
      </c>
      <c r="I476" s="12">
        <f>IF($G476="正常",$H476/60,"")</f>
        <v/>
      </c>
      <c r="J476" s="13">
        <f>IF($G476="正常",ROUND($H476/30,0)/2,"")</f>
        <v/>
      </c>
      <c r="K476" s="13">
        <f>IF($G476="正常",MIN($J476,12),"")</f>
        <v/>
      </c>
      <c r="L476" s="13">
        <f>IF($G476="正常",MAX($J476-12,0),"")</f>
        <v/>
      </c>
    </row>
    <row r="477">
      <c r="A477" s="3" t="inlineStr">
        <is>
          <t>黄伟中</t>
        </is>
      </c>
      <c r="B477" s="3" t="inlineStr">
        <is>
          <t>8/11</t>
        </is>
      </c>
      <c r="C477" s="3" t="inlineStr">
        <is>
          <t>二</t>
        </is>
      </c>
      <c r="D477" s="3" t="inlineStr">
        <is>
          <t>08:21 18:06</t>
        </is>
      </c>
      <c r="E477" s="4" t="n">
        <v>0.3479166666666667</v>
      </c>
      <c r="F477" s="4" t="n">
        <v>0.7541666666666667</v>
      </c>
      <c r="G477" s="3">
        <f>IF($E477="","空卡",IF($F477="","单卡","正常"))</f>
        <v/>
      </c>
      <c r="H477" s="5">
        <f>IF($G477="正常",ROUND(($F477-$E477)*1440,0),"")</f>
        <v/>
      </c>
      <c r="I477" s="6">
        <f>IF($G477="正常",$H477/60,"")</f>
        <v/>
      </c>
      <c r="J477" s="7">
        <f>IF($G477="正常",ROUND($H477/30,0)/2,"")</f>
        <v/>
      </c>
      <c r="K477" s="7">
        <f>IF($G477="正常",MIN($J477,12),"")</f>
        <v/>
      </c>
      <c r="L477" s="7">
        <f>IF($G477="正常",MAX($J477-12,0),"")</f>
        <v/>
      </c>
    </row>
    <row r="478">
      <c r="A478" s="3" t="inlineStr">
        <is>
          <t>黄伟中</t>
        </is>
      </c>
      <c r="B478" s="3" t="inlineStr">
        <is>
          <t>8/12</t>
        </is>
      </c>
      <c r="C478" s="3" t="inlineStr">
        <is>
          <t>三</t>
        </is>
      </c>
      <c r="D478" s="3" t="inlineStr">
        <is>
          <t>09:54 18:35</t>
        </is>
      </c>
      <c r="E478" s="4" t="n">
        <v>0.4125</v>
      </c>
      <c r="F478" s="4" t="n">
        <v>0.7743055555555556</v>
      </c>
      <c r="G478" s="3">
        <f>IF($E478="","空卡",IF($F478="","单卡","正常"))</f>
        <v/>
      </c>
      <c r="H478" s="5">
        <f>IF($G478="正常",ROUND(($F478-$E478)*1440,0),"")</f>
        <v/>
      </c>
      <c r="I478" s="6">
        <f>IF($G478="正常",$H478/60,"")</f>
        <v/>
      </c>
      <c r="J478" s="7">
        <f>IF($G478="正常",ROUND($H478/30,0)/2,"")</f>
        <v/>
      </c>
      <c r="K478" s="7">
        <f>IF($G478="正常",MIN($J478,12),"")</f>
        <v/>
      </c>
      <c r="L478" s="7">
        <f>IF($G478="正常",MAX($J478-12,0),"")</f>
        <v/>
      </c>
    </row>
    <row r="479">
      <c r="A479" s="3" t="inlineStr">
        <is>
          <t>黄伟中</t>
        </is>
      </c>
      <c r="B479" s="3" t="inlineStr">
        <is>
          <t>8/13</t>
        </is>
      </c>
      <c r="C479" s="3" t="inlineStr">
        <is>
          <t>四</t>
        </is>
      </c>
      <c r="D479" s="3" t="inlineStr">
        <is>
          <t>08:18 19:02</t>
        </is>
      </c>
      <c r="E479" s="4" t="n">
        <v>0.3458333333333333</v>
      </c>
      <c r="F479" s="4" t="n">
        <v>0.7930555555555555</v>
      </c>
      <c r="G479" s="3">
        <f>IF($E479="","空卡",IF($F479="","单卡","正常"))</f>
        <v/>
      </c>
      <c r="H479" s="5">
        <f>IF($G479="正常",ROUND(($F479-$E479)*1440,0),"")</f>
        <v/>
      </c>
      <c r="I479" s="6">
        <f>IF($G479="正常",$H479/60,"")</f>
        <v/>
      </c>
      <c r="J479" s="7">
        <f>IF($G479="正常",ROUND($H479/30,0)/2,"")</f>
        <v/>
      </c>
      <c r="K479" s="7">
        <f>IF($G479="正常",MIN($J479,12),"")</f>
        <v/>
      </c>
      <c r="L479" s="7">
        <f>IF($G479="正常",MAX($J479-12,0),"")</f>
        <v/>
      </c>
    </row>
    <row r="480">
      <c r="A480" s="3" t="inlineStr">
        <is>
          <t>黄伟中</t>
        </is>
      </c>
      <c r="B480" s="3" t="inlineStr">
        <is>
          <t>8/14</t>
        </is>
      </c>
      <c r="C480" s="3" t="inlineStr">
        <is>
          <t>五</t>
        </is>
      </c>
      <c r="D480" s="3" t="inlineStr">
        <is>
          <t>08:23 19:30</t>
        </is>
      </c>
      <c r="E480" s="4" t="n">
        <v>0.3493055555555555</v>
      </c>
      <c r="F480" s="4" t="n">
        <v>0.8125</v>
      </c>
      <c r="G480" s="3">
        <f>IF($E480="","空卡",IF($F480="","单卡","正常"))</f>
        <v/>
      </c>
      <c r="H480" s="5">
        <f>IF($G480="正常",ROUND(($F480-$E480)*1440,0),"")</f>
        <v/>
      </c>
      <c r="I480" s="6">
        <f>IF($G480="正常",$H480/60,"")</f>
        <v/>
      </c>
      <c r="J480" s="7">
        <f>IF($G480="正常",ROUND($H480/30,0)/2,"")</f>
        <v/>
      </c>
      <c r="K480" s="7">
        <f>IF($G480="正常",MIN($J480,12),"")</f>
        <v/>
      </c>
      <c r="L480" s="7">
        <f>IF($G480="正常",MAX($J480-12,0),"")</f>
        <v/>
      </c>
    </row>
    <row r="481">
      <c r="A481" s="3" t="inlineStr">
        <is>
          <t>黄伟中</t>
        </is>
      </c>
      <c r="B481" s="3" t="inlineStr">
        <is>
          <t>8/15</t>
        </is>
      </c>
      <c r="C481" s="3" t="inlineStr">
        <is>
          <t>六</t>
        </is>
      </c>
      <c r="D481" s="3" t="inlineStr">
        <is>
          <t>06:52 19:00</t>
        </is>
      </c>
      <c r="E481" s="4" t="n">
        <v>0.2861111111111111</v>
      </c>
      <c r="F481" s="4" t="n">
        <v>0.7916666666666666</v>
      </c>
      <c r="G481" s="3">
        <f>IF($E481="","空卡",IF($F481="","单卡","正常"))</f>
        <v/>
      </c>
      <c r="H481" s="5">
        <f>IF($G481="正常",ROUND(($F481-$E481)*1440,0),"")</f>
        <v/>
      </c>
      <c r="I481" s="6">
        <f>IF($G481="正常",$H481/60,"")</f>
        <v/>
      </c>
      <c r="J481" s="7">
        <f>IF($G481="正常",ROUND($H481/30,0)/2,"")</f>
        <v/>
      </c>
      <c r="K481" s="7">
        <f>IF($G481="正常",MIN($J481,12),"")</f>
        <v/>
      </c>
      <c r="L481" s="7">
        <f>IF($G481="正常",MAX($J481-12,0),"")</f>
        <v/>
      </c>
    </row>
    <row r="482">
      <c r="A482" s="8" t="inlineStr">
        <is>
          <t>黄伟中</t>
        </is>
      </c>
      <c r="B482" s="8" t="inlineStr">
        <is>
          <t>8/16</t>
        </is>
      </c>
      <c r="C482" s="8" t="inlineStr">
        <is>
          <t>日</t>
        </is>
      </c>
      <c r="D482" s="8" t="inlineStr"/>
      <c r="E482" s="9" t="n"/>
      <c r="F482" s="9" t="n"/>
      <c r="G482" s="10">
        <f>IF($E482="","空卡",IF($F482="","单卡","正常"))</f>
        <v/>
      </c>
      <c r="H482" s="11">
        <f>IF($G482="正常",ROUND(($F482-$E482)*1440,0),"")</f>
        <v/>
      </c>
      <c r="I482" s="12">
        <f>IF($G482="正常",$H482/60,"")</f>
        <v/>
      </c>
      <c r="J482" s="13">
        <f>IF($G482="正常",ROUND($H482/30,0)/2,"")</f>
        <v/>
      </c>
      <c r="K482" s="13">
        <f>IF($G482="正常",MIN($J482,12),"")</f>
        <v/>
      </c>
      <c r="L482" s="13">
        <f>IF($G482="正常",MAX($J482-12,0),"")</f>
        <v/>
      </c>
    </row>
    <row r="483">
      <c r="A483" s="3" t="inlineStr">
        <is>
          <t>黄伟中</t>
        </is>
      </c>
      <c r="B483" s="3" t="inlineStr">
        <is>
          <t>8/17</t>
        </is>
      </c>
      <c r="C483" s="3" t="inlineStr">
        <is>
          <t>一</t>
        </is>
      </c>
      <c r="D483" s="3" t="inlineStr">
        <is>
          <t>07:55 19:01</t>
        </is>
      </c>
      <c r="E483" s="4" t="n">
        <v>0.3298611111111111</v>
      </c>
      <c r="F483" s="4" t="n">
        <v>0.7923611111111111</v>
      </c>
      <c r="G483" s="3">
        <f>IF($E483="","空卡",IF($F483="","单卡","正常"))</f>
        <v/>
      </c>
      <c r="H483" s="5">
        <f>IF($G483="正常",ROUND(($F483-$E483)*1440,0),"")</f>
        <v/>
      </c>
      <c r="I483" s="6">
        <f>IF($G483="正常",$H483/60,"")</f>
        <v/>
      </c>
      <c r="J483" s="7">
        <f>IF($G483="正常",ROUND($H483/30,0)/2,"")</f>
        <v/>
      </c>
      <c r="K483" s="7">
        <f>IF($G483="正常",MIN($J483,12),"")</f>
        <v/>
      </c>
      <c r="L483" s="7">
        <f>IF($G483="正常",MAX($J483-12,0),"")</f>
        <v/>
      </c>
    </row>
    <row r="484">
      <c r="A484" s="3" t="inlineStr">
        <is>
          <t>黄伟中</t>
        </is>
      </c>
      <c r="B484" s="3" t="inlineStr">
        <is>
          <t>8/18</t>
        </is>
      </c>
      <c r="C484" s="3" t="inlineStr">
        <is>
          <t>二</t>
        </is>
      </c>
      <c r="D484" s="3" t="inlineStr">
        <is>
          <t>07:53 18:58</t>
        </is>
      </c>
      <c r="E484" s="4" t="n">
        <v>0.3284722222222222</v>
      </c>
      <c r="F484" s="4" t="n">
        <v>0.7902777777777777</v>
      </c>
      <c r="G484" s="3">
        <f>IF($E484="","空卡",IF($F484="","单卡","正常"))</f>
        <v/>
      </c>
      <c r="H484" s="5">
        <f>IF($G484="正常",ROUND(($F484-$E484)*1440,0),"")</f>
        <v/>
      </c>
      <c r="I484" s="6">
        <f>IF($G484="正常",$H484/60,"")</f>
        <v/>
      </c>
      <c r="J484" s="7">
        <f>IF($G484="正常",ROUND($H484/30,0)/2,"")</f>
        <v/>
      </c>
      <c r="K484" s="7">
        <f>IF($G484="正常",MIN($J484,12),"")</f>
        <v/>
      </c>
      <c r="L484" s="7">
        <f>IF($G484="正常",MAX($J484-12,0),"")</f>
        <v/>
      </c>
    </row>
    <row r="485">
      <c r="A485" s="3" t="inlineStr">
        <is>
          <t>黄伟中</t>
        </is>
      </c>
      <c r="B485" s="3" t="inlineStr">
        <is>
          <t>8/19</t>
        </is>
      </c>
      <c r="C485" s="3" t="inlineStr">
        <is>
          <t>三</t>
        </is>
      </c>
      <c r="D485" s="3" t="inlineStr">
        <is>
          <t>07:29 19:00</t>
        </is>
      </c>
      <c r="E485" s="4" t="n">
        <v>0.3118055555555556</v>
      </c>
      <c r="F485" s="4" t="n">
        <v>0.7916666666666666</v>
      </c>
      <c r="G485" s="3">
        <f>IF($E485="","空卡",IF($F485="","单卡","正常"))</f>
        <v/>
      </c>
      <c r="H485" s="5">
        <f>IF($G485="正常",ROUND(($F485-$E485)*1440,0),"")</f>
        <v/>
      </c>
      <c r="I485" s="6">
        <f>IF($G485="正常",$H485/60,"")</f>
        <v/>
      </c>
      <c r="J485" s="7">
        <f>IF($G485="正常",ROUND($H485/30,0)/2,"")</f>
        <v/>
      </c>
      <c r="K485" s="7">
        <f>IF($G485="正常",MIN($J485,12),"")</f>
        <v/>
      </c>
      <c r="L485" s="7">
        <f>IF($G485="正常",MAX($J485-12,0),"")</f>
        <v/>
      </c>
    </row>
    <row r="486">
      <c r="A486" s="8" t="inlineStr">
        <is>
          <t>黄伟中</t>
        </is>
      </c>
      <c r="B486" s="8" t="inlineStr">
        <is>
          <t>8/20</t>
        </is>
      </c>
      <c r="C486" s="8" t="inlineStr">
        <is>
          <t>四</t>
        </is>
      </c>
      <c r="D486" s="8" t="inlineStr"/>
      <c r="E486" s="9" t="n"/>
      <c r="F486" s="9" t="n"/>
      <c r="G486" s="10">
        <f>IF($E486="","空卡",IF($F486="","单卡","正常"))</f>
        <v/>
      </c>
      <c r="H486" s="11">
        <f>IF($G486="正常",ROUND(($F486-$E486)*1440,0),"")</f>
        <v/>
      </c>
      <c r="I486" s="12">
        <f>IF($G486="正常",$H486/60,"")</f>
        <v/>
      </c>
      <c r="J486" s="13">
        <f>IF($G486="正常",ROUND($H486/30,0)/2,"")</f>
        <v/>
      </c>
      <c r="K486" s="13">
        <f>IF($G486="正常",MIN($J486,12),"")</f>
        <v/>
      </c>
      <c r="L486" s="13">
        <f>IF($G486="正常",MAX($J486-12,0),"")</f>
        <v/>
      </c>
    </row>
    <row r="487">
      <c r="A487" s="3" t="inlineStr">
        <is>
          <t>黄伟中</t>
        </is>
      </c>
      <c r="B487" s="3" t="inlineStr">
        <is>
          <t>8/21</t>
        </is>
      </c>
      <c r="C487" s="3" t="inlineStr">
        <is>
          <t>五</t>
        </is>
      </c>
      <c r="D487" s="3" t="inlineStr">
        <is>
          <t>06:53 19:01</t>
        </is>
      </c>
      <c r="E487" s="4" t="n">
        <v>0.2868055555555555</v>
      </c>
      <c r="F487" s="4" t="n">
        <v>0.7923611111111111</v>
      </c>
      <c r="G487" s="3">
        <f>IF($E487="","空卡",IF($F487="","单卡","正常"))</f>
        <v/>
      </c>
      <c r="H487" s="5">
        <f>IF($G487="正常",ROUND(($F487-$E487)*1440,0),"")</f>
        <v/>
      </c>
      <c r="I487" s="6">
        <f>IF($G487="正常",$H487/60,"")</f>
        <v/>
      </c>
      <c r="J487" s="7">
        <f>IF($G487="正常",ROUND($H487/30,0)/2,"")</f>
        <v/>
      </c>
      <c r="K487" s="7">
        <f>IF($G487="正常",MIN($J487,12),"")</f>
        <v/>
      </c>
      <c r="L487" s="7">
        <f>IF($G487="正常",MAX($J487-12,0),"")</f>
        <v/>
      </c>
    </row>
    <row r="488">
      <c r="A488" s="3" t="inlineStr">
        <is>
          <t>黄伟中</t>
        </is>
      </c>
      <c r="B488" s="3" t="inlineStr">
        <is>
          <t>8/22</t>
        </is>
      </c>
      <c r="C488" s="3" t="inlineStr">
        <is>
          <t>六</t>
        </is>
      </c>
      <c r="D488" s="3" t="inlineStr">
        <is>
          <t>06:56 18:30</t>
        </is>
      </c>
      <c r="E488" s="4" t="n">
        <v>0.2888888888888889</v>
      </c>
      <c r="F488" s="4" t="n">
        <v>0.7708333333333334</v>
      </c>
      <c r="G488" s="3">
        <f>IF($E488="","空卡",IF($F488="","单卡","正常"))</f>
        <v/>
      </c>
      <c r="H488" s="5">
        <f>IF($G488="正常",ROUND(($F488-$E488)*1440,0),"")</f>
        <v/>
      </c>
      <c r="I488" s="6">
        <f>IF($G488="正常",$H488/60,"")</f>
        <v/>
      </c>
      <c r="J488" s="7">
        <f>IF($G488="正常",ROUND($H488/30,0)/2,"")</f>
        <v/>
      </c>
      <c r="K488" s="7">
        <f>IF($G488="正常",MIN($J488,12),"")</f>
        <v/>
      </c>
      <c r="L488" s="7">
        <f>IF($G488="正常",MAX($J488-12,0),"")</f>
        <v/>
      </c>
    </row>
    <row r="489">
      <c r="A489" s="8" t="inlineStr">
        <is>
          <t>黄伟中</t>
        </is>
      </c>
      <c r="B489" s="8" t="inlineStr">
        <is>
          <t>8/23</t>
        </is>
      </c>
      <c r="C489" s="8" t="inlineStr">
        <is>
          <t>日</t>
        </is>
      </c>
      <c r="D489" s="8" t="inlineStr"/>
      <c r="E489" s="9" t="n"/>
      <c r="F489" s="9" t="n"/>
      <c r="G489" s="10">
        <f>IF($E489="","空卡",IF($F489="","单卡","正常"))</f>
        <v/>
      </c>
      <c r="H489" s="11">
        <f>IF($G489="正常",ROUND(($F489-$E489)*1440,0),"")</f>
        <v/>
      </c>
      <c r="I489" s="12">
        <f>IF($G489="正常",$H489/60,"")</f>
        <v/>
      </c>
      <c r="J489" s="13">
        <f>IF($G489="正常",ROUND($H489/30,0)/2,"")</f>
        <v/>
      </c>
      <c r="K489" s="13">
        <f>IF($G489="正常",MIN($J489,12),"")</f>
        <v/>
      </c>
      <c r="L489" s="13">
        <f>IF($G489="正常",MAX($J489-12,0),"")</f>
        <v/>
      </c>
    </row>
    <row r="490">
      <c r="A490" s="3" t="inlineStr">
        <is>
          <t>黄伟中</t>
        </is>
      </c>
      <c r="B490" s="3" t="inlineStr">
        <is>
          <t>8/24</t>
        </is>
      </c>
      <c r="C490" s="3" t="inlineStr">
        <is>
          <t>一</t>
        </is>
      </c>
      <c r="D490" s="3" t="inlineStr">
        <is>
          <t>06:56 16:37</t>
        </is>
      </c>
      <c r="E490" s="4" t="n">
        <v>0.2888888888888889</v>
      </c>
      <c r="F490" s="4" t="n">
        <v>0.6923611111111111</v>
      </c>
      <c r="G490" s="3">
        <f>IF($E490="","空卡",IF($F490="","单卡","正常"))</f>
        <v/>
      </c>
      <c r="H490" s="5">
        <f>IF($G490="正常",ROUND(($F490-$E490)*1440,0),"")</f>
        <v/>
      </c>
      <c r="I490" s="6">
        <f>IF($G490="正常",$H490/60,"")</f>
        <v/>
      </c>
      <c r="J490" s="7">
        <f>IF($G490="正常",ROUND($H490/30,0)/2,"")</f>
        <v/>
      </c>
      <c r="K490" s="7">
        <f>IF($G490="正常",MIN($J490,12),"")</f>
        <v/>
      </c>
      <c r="L490" s="7">
        <f>IF($G490="正常",MAX($J490-12,0),"")</f>
        <v/>
      </c>
    </row>
    <row r="491">
      <c r="A491" s="8" t="inlineStr">
        <is>
          <t>黄伟中</t>
        </is>
      </c>
      <c r="B491" s="8" t="inlineStr">
        <is>
          <t>8/25</t>
        </is>
      </c>
      <c r="C491" s="8" t="inlineStr">
        <is>
          <t>二</t>
        </is>
      </c>
      <c r="D491" s="8" t="inlineStr"/>
      <c r="E491" s="9" t="n"/>
      <c r="F491" s="9" t="n"/>
      <c r="G491" s="10">
        <f>IF($E491="","空卡",IF($F491="","单卡","正常"))</f>
        <v/>
      </c>
      <c r="H491" s="11">
        <f>IF($G491="正常",ROUND(($F491-$E491)*1440,0),"")</f>
        <v/>
      </c>
      <c r="I491" s="12">
        <f>IF($G491="正常",$H491/60,"")</f>
        <v/>
      </c>
      <c r="J491" s="13">
        <f>IF($G491="正常",ROUND($H491/30,0)/2,"")</f>
        <v/>
      </c>
      <c r="K491" s="13">
        <f>IF($G491="正常",MIN($J491,12),"")</f>
        <v/>
      </c>
      <c r="L491" s="13">
        <f>IF($G491="正常",MAX($J491-12,0),"")</f>
        <v/>
      </c>
    </row>
    <row r="492">
      <c r="A492" s="3" t="inlineStr">
        <is>
          <t>黄伟中</t>
        </is>
      </c>
      <c r="B492" s="3" t="inlineStr">
        <is>
          <t>8/26</t>
        </is>
      </c>
      <c r="C492" s="3" t="inlineStr">
        <is>
          <t>三</t>
        </is>
      </c>
      <c r="D492" s="3" t="inlineStr">
        <is>
          <t>07:52 18:57</t>
        </is>
      </c>
      <c r="E492" s="4" t="n">
        <v>0.3277777777777778</v>
      </c>
      <c r="F492" s="4" t="n">
        <v>0.7895833333333333</v>
      </c>
      <c r="G492" s="3">
        <f>IF($E492="","空卡",IF($F492="","单卡","正常"))</f>
        <v/>
      </c>
      <c r="H492" s="5">
        <f>IF($G492="正常",ROUND(($F492-$E492)*1440,0),"")</f>
        <v/>
      </c>
      <c r="I492" s="6">
        <f>IF($G492="正常",$H492/60,"")</f>
        <v/>
      </c>
      <c r="J492" s="7">
        <f>IF($G492="正常",ROUND($H492/30,0)/2,"")</f>
        <v/>
      </c>
      <c r="K492" s="7">
        <f>IF($G492="正常",MIN($J492,12),"")</f>
        <v/>
      </c>
      <c r="L492" s="7">
        <f>IF($G492="正常",MAX($J492-12,0),"")</f>
        <v/>
      </c>
    </row>
    <row r="493">
      <c r="A493" s="3" t="inlineStr">
        <is>
          <t>黄伟中</t>
        </is>
      </c>
      <c r="B493" s="3" t="inlineStr">
        <is>
          <t>8/27</t>
        </is>
      </c>
      <c r="C493" s="3" t="inlineStr">
        <is>
          <t>四</t>
        </is>
      </c>
      <c r="D493" s="3" t="inlineStr">
        <is>
          <t>07:54 19:03</t>
        </is>
      </c>
      <c r="E493" s="4" t="n">
        <v>0.3291666666666667</v>
      </c>
      <c r="F493" s="4" t="n">
        <v>0.79375</v>
      </c>
      <c r="G493" s="3">
        <f>IF($E493="","空卡",IF($F493="","单卡","正常"))</f>
        <v/>
      </c>
      <c r="H493" s="5">
        <f>IF($G493="正常",ROUND(($F493-$E493)*1440,0),"")</f>
        <v/>
      </c>
      <c r="I493" s="6">
        <f>IF($G493="正常",$H493/60,"")</f>
        <v/>
      </c>
      <c r="J493" s="7">
        <f>IF($G493="正常",ROUND($H493/30,0)/2,"")</f>
        <v/>
      </c>
      <c r="K493" s="7">
        <f>IF($G493="正常",MIN($J493,12),"")</f>
        <v/>
      </c>
      <c r="L493" s="7">
        <f>IF($G493="正常",MAX($J493-12,0),"")</f>
        <v/>
      </c>
    </row>
    <row r="494">
      <c r="A494" s="3" t="inlineStr">
        <is>
          <t>黄伟中</t>
        </is>
      </c>
      <c r="B494" s="3" t="inlineStr">
        <is>
          <t>8/28</t>
        </is>
      </c>
      <c r="C494" s="3" t="inlineStr">
        <is>
          <t>五</t>
        </is>
      </c>
      <c r="D494" s="3" t="inlineStr">
        <is>
          <t>07:47 18:29</t>
        </is>
      </c>
      <c r="E494" s="4" t="n">
        <v>0.3243055555555556</v>
      </c>
      <c r="F494" s="4" t="n">
        <v>0.7701388888888889</v>
      </c>
      <c r="G494" s="3">
        <f>IF($E494="","空卡",IF($F494="","单卡","正常"))</f>
        <v/>
      </c>
      <c r="H494" s="5">
        <f>IF($G494="正常",ROUND(($F494-$E494)*1440,0),"")</f>
        <v/>
      </c>
      <c r="I494" s="6">
        <f>IF($G494="正常",$H494/60,"")</f>
        <v/>
      </c>
      <c r="J494" s="7">
        <f>IF($G494="正常",ROUND($H494/30,0)/2,"")</f>
        <v/>
      </c>
      <c r="K494" s="7">
        <f>IF($G494="正常",MIN($J494,12),"")</f>
        <v/>
      </c>
      <c r="L494" s="7">
        <f>IF($G494="正常",MAX($J494-12,0),"")</f>
        <v/>
      </c>
    </row>
    <row r="495">
      <c r="A495" s="8" t="inlineStr">
        <is>
          <t>黄伟中</t>
        </is>
      </c>
      <c r="B495" s="8" t="inlineStr">
        <is>
          <t>8/29</t>
        </is>
      </c>
      <c r="C495" s="8" t="inlineStr">
        <is>
          <t>六</t>
        </is>
      </c>
      <c r="D495" s="8" t="inlineStr"/>
      <c r="E495" s="9" t="n"/>
      <c r="F495" s="9" t="n"/>
      <c r="G495" s="10">
        <f>IF($E495="","空卡",IF($F495="","单卡","正常"))</f>
        <v/>
      </c>
      <c r="H495" s="11">
        <f>IF($G495="正常",ROUND(($F495-$E495)*1440,0),"")</f>
        <v/>
      </c>
      <c r="I495" s="12">
        <f>IF($G495="正常",$H495/60,"")</f>
        <v/>
      </c>
      <c r="J495" s="13">
        <f>IF($G495="正常",ROUND($H495/30,0)/2,"")</f>
        <v/>
      </c>
      <c r="K495" s="13">
        <f>IF($G495="正常",MIN($J495,12),"")</f>
        <v/>
      </c>
      <c r="L495" s="13">
        <f>IF($G495="正常",MAX($J495-12,0),"")</f>
        <v/>
      </c>
    </row>
    <row r="496">
      <c r="A496" s="8" t="inlineStr">
        <is>
          <t>黄伟中</t>
        </is>
      </c>
      <c r="B496" s="8" t="inlineStr">
        <is>
          <t>8/30</t>
        </is>
      </c>
      <c r="C496" s="8" t="inlineStr">
        <is>
          <t>日</t>
        </is>
      </c>
      <c r="D496" s="8" t="inlineStr"/>
      <c r="E496" s="9" t="n"/>
      <c r="F496" s="9" t="n"/>
      <c r="G496" s="10">
        <f>IF($E496="","空卡",IF($F496="","单卡","正常"))</f>
        <v/>
      </c>
      <c r="H496" s="11">
        <f>IF($G496="正常",ROUND(($F496-$E496)*1440,0),"")</f>
        <v/>
      </c>
      <c r="I496" s="12">
        <f>IF($G496="正常",$H496/60,"")</f>
        <v/>
      </c>
      <c r="J496" s="13">
        <f>IF($G496="正常",ROUND($H496/30,0)/2,"")</f>
        <v/>
      </c>
      <c r="K496" s="13">
        <f>IF($G496="正常",MIN($J496,12),"")</f>
        <v/>
      </c>
      <c r="L496" s="13">
        <f>IF($G496="正常",MAX($J496-12,0),"")</f>
        <v/>
      </c>
    </row>
    <row r="497">
      <c r="A497" s="8" t="inlineStr">
        <is>
          <t>黄伟中</t>
        </is>
      </c>
      <c r="B497" s="8" t="inlineStr">
        <is>
          <t>8/31</t>
        </is>
      </c>
      <c r="C497" s="8" t="inlineStr">
        <is>
          <t>一</t>
        </is>
      </c>
      <c r="D497" s="8" t="inlineStr"/>
      <c r="E497" s="9" t="n"/>
      <c r="F497" s="9" t="n"/>
      <c r="G497" s="10">
        <f>IF($E497="","空卡",IF($F497="","单卡","正常"))</f>
        <v/>
      </c>
      <c r="H497" s="11">
        <f>IF($G497="正常",ROUND(($F497-$E497)*1440,0),"")</f>
        <v/>
      </c>
      <c r="I497" s="12">
        <f>IF($G497="正常",$H497/60,"")</f>
        <v/>
      </c>
      <c r="J497" s="13">
        <f>IF($G497="正常",ROUND($H497/30,0)/2,"")</f>
        <v/>
      </c>
      <c r="K497" s="13">
        <f>IF($G497="正常",MIN($J497,12),"")</f>
        <v/>
      </c>
      <c r="L497" s="13">
        <f>IF($G497="正常",MAX($J497-12,0),"")</f>
        <v/>
      </c>
    </row>
    <row r="498">
      <c r="A498" s="3" t="inlineStr">
        <is>
          <t>钟景良</t>
        </is>
      </c>
      <c r="B498" s="3" t="inlineStr">
        <is>
          <t>8/1</t>
        </is>
      </c>
      <c r="C498" s="3" t="inlineStr">
        <is>
          <t>六</t>
        </is>
      </c>
      <c r="D498" s="3" t="inlineStr">
        <is>
          <t>07:51 17:02</t>
        </is>
      </c>
      <c r="E498" s="4" t="n">
        <v>0.3270833333333333</v>
      </c>
      <c r="F498" s="4" t="n">
        <v>0.7097222222222223</v>
      </c>
      <c r="G498" s="3">
        <f>IF($E498="","空卡",IF($F498="","单卡","正常"))</f>
        <v/>
      </c>
      <c r="H498" s="5">
        <f>IF($G498="正常",ROUND(($F498-$E498)*1440,0),"")</f>
        <v/>
      </c>
      <c r="I498" s="6">
        <f>IF($G498="正常",$H498/60,"")</f>
        <v/>
      </c>
      <c r="J498" s="7">
        <f>IF($G498="正常",ROUND($H498/30,0)/2,"")</f>
        <v/>
      </c>
      <c r="K498" s="7">
        <f>IF($G498="正常",MIN($J498,12),"")</f>
        <v/>
      </c>
      <c r="L498" s="7">
        <f>IF($G498="正常",MAX($J498-12,0),"")</f>
        <v/>
      </c>
    </row>
    <row r="499">
      <c r="A499" s="3" t="inlineStr">
        <is>
          <t>钟景良</t>
        </is>
      </c>
      <c r="B499" s="3" t="inlineStr">
        <is>
          <t>8/2</t>
        </is>
      </c>
      <c r="C499" s="3" t="inlineStr">
        <is>
          <t>日</t>
        </is>
      </c>
      <c r="D499" s="3" t="inlineStr">
        <is>
          <t>07:53 15:02</t>
        </is>
      </c>
      <c r="E499" s="4" t="n">
        <v>0.3284722222222222</v>
      </c>
      <c r="F499" s="4" t="n">
        <v>0.6263888888888889</v>
      </c>
      <c r="G499" s="3">
        <f>IF($E499="","空卡",IF($F499="","单卡","正常"))</f>
        <v/>
      </c>
      <c r="H499" s="5">
        <f>IF($G499="正常",ROUND(($F499-$E499)*1440,0),"")</f>
        <v/>
      </c>
      <c r="I499" s="6">
        <f>IF($G499="正常",$H499/60,"")</f>
        <v/>
      </c>
      <c r="J499" s="7">
        <f>IF($G499="正常",ROUND($H499/30,0)/2,"")</f>
        <v/>
      </c>
      <c r="K499" s="7">
        <f>IF($G499="正常",MIN($J499,12),"")</f>
        <v/>
      </c>
      <c r="L499" s="7">
        <f>IF($G499="正常",MAX($J499-12,0),"")</f>
        <v/>
      </c>
    </row>
    <row r="500">
      <c r="A500" s="3" t="inlineStr">
        <is>
          <t>钟景良</t>
        </is>
      </c>
      <c r="B500" s="3" t="inlineStr">
        <is>
          <t>8/3</t>
        </is>
      </c>
      <c r="C500" s="3" t="inlineStr">
        <is>
          <t>一</t>
        </is>
      </c>
      <c r="D500" s="3" t="inlineStr">
        <is>
          <t>08:19 15:32</t>
        </is>
      </c>
      <c r="E500" s="4" t="n">
        <v>0.3465277777777778</v>
      </c>
      <c r="F500" s="4" t="n">
        <v>0.6472222222222223</v>
      </c>
      <c r="G500" s="3">
        <f>IF($E500="","空卡",IF($F500="","单卡","正常"))</f>
        <v/>
      </c>
      <c r="H500" s="5">
        <f>IF($G500="正常",ROUND(($F500-$E500)*1440,0),"")</f>
        <v/>
      </c>
      <c r="I500" s="6">
        <f>IF($G500="正常",$H500/60,"")</f>
        <v/>
      </c>
      <c r="J500" s="7">
        <f>IF($G500="正常",ROUND($H500/30,0)/2,"")</f>
        <v/>
      </c>
      <c r="K500" s="7">
        <f>IF($G500="正常",MIN($J500,12),"")</f>
        <v/>
      </c>
      <c r="L500" s="7">
        <f>IF($G500="正常",MAX($J500-12,0),"")</f>
        <v/>
      </c>
    </row>
    <row r="501">
      <c r="A501" s="3" t="inlineStr">
        <is>
          <t>钟景良</t>
        </is>
      </c>
      <c r="B501" s="3" t="inlineStr">
        <is>
          <t>8/4</t>
        </is>
      </c>
      <c r="C501" s="3" t="inlineStr">
        <is>
          <t>二</t>
        </is>
      </c>
      <c r="D501" s="3" t="inlineStr">
        <is>
          <t>07:50 20:35</t>
        </is>
      </c>
      <c r="E501" s="4" t="n">
        <v>0.3263888888888889</v>
      </c>
      <c r="F501" s="4" t="n">
        <v>0.8576388888888888</v>
      </c>
      <c r="G501" s="3">
        <f>IF($E501="","空卡",IF($F501="","单卡","正常"))</f>
        <v/>
      </c>
      <c r="H501" s="5">
        <f>IF($G501="正常",ROUND(($F501-$E501)*1440,0),"")</f>
        <v/>
      </c>
      <c r="I501" s="6">
        <f>IF($G501="正常",$H501/60,"")</f>
        <v/>
      </c>
      <c r="J501" s="7">
        <f>IF($G501="正常",ROUND($H501/30,0)/2,"")</f>
        <v/>
      </c>
      <c r="K501" s="7">
        <f>IF($G501="正常",MIN($J501,12),"")</f>
        <v/>
      </c>
      <c r="L501" s="7">
        <f>IF($G501="正常",MAX($J501-12,0),"")</f>
        <v/>
      </c>
    </row>
    <row r="502">
      <c r="A502" s="3" t="inlineStr">
        <is>
          <t>钟景良</t>
        </is>
      </c>
      <c r="B502" s="3" t="inlineStr">
        <is>
          <t>8/5</t>
        </is>
      </c>
      <c r="C502" s="3" t="inlineStr">
        <is>
          <t>三</t>
        </is>
      </c>
      <c r="D502" s="3" t="inlineStr">
        <is>
          <t>09:29 19:37</t>
        </is>
      </c>
      <c r="E502" s="4" t="n">
        <v>0.3951388888888889</v>
      </c>
      <c r="F502" s="4" t="n">
        <v>0.8173611111111111</v>
      </c>
      <c r="G502" s="3">
        <f>IF($E502="","空卡",IF($F502="","单卡","正常"))</f>
        <v/>
      </c>
      <c r="H502" s="5">
        <f>IF($G502="正常",ROUND(($F502-$E502)*1440,0),"")</f>
        <v/>
      </c>
      <c r="I502" s="6">
        <f>IF($G502="正常",$H502/60,"")</f>
        <v/>
      </c>
      <c r="J502" s="7">
        <f>IF($G502="正常",ROUND($H502/30,0)/2,"")</f>
        <v/>
      </c>
      <c r="K502" s="7">
        <f>IF($G502="正常",MIN($J502,12),"")</f>
        <v/>
      </c>
      <c r="L502" s="7">
        <f>IF($G502="正常",MAX($J502-12,0),"")</f>
        <v/>
      </c>
    </row>
    <row r="503">
      <c r="A503" s="3" t="inlineStr">
        <is>
          <t>钟景良</t>
        </is>
      </c>
      <c r="B503" s="3" t="inlineStr">
        <is>
          <t>8/6</t>
        </is>
      </c>
      <c r="C503" s="3" t="inlineStr">
        <is>
          <t>四</t>
        </is>
      </c>
      <c r="D503" s="3" t="inlineStr">
        <is>
          <t>08:48 19:02</t>
        </is>
      </c>
      <c r="E503" s="4" t="n">
        <v>0.3666666666666666</v>
      </c>
      <c r="F503" s="4" t="n">
        <v>0.7930555555555555</v>
      </c>
      <c r="G503" s="3">
        <f>IF($E503="","空卡",IF($F503="","单卡","正常"))</f>
        <v/>
      </c>
      <c r="H503" s="5">
        <f>IF($G503="正常",ROUND(($F503-$E503)*1440,0),"")</f>
        <v/>
      </c>
      <c r="I503" s="6">
        <f>IF($G503="正常",$H503/60,"")</f>
        <v/>
      </c>
      <c r="J503" s="7">
        <f>IF($G503="正常",ROUND($H503/30,0)/2,"")</f>
        <v/>
      </c>
      <c r="K503" s="7">
        <f>IF($G503="正常",MIN($J503,12),"")</f>
        <v/>
      </c>
      <c r="L503" s="7">
        <f>IF($G503="正常",MAX($J503-12,0),"")</f>
        <v/>
      </c>
    </row>
    <row r="504">
      <c r="A504" s="3" t="inlineStr">
        <is>
          <t>钟景良</t>
        </is>
      </c>
      <c r="B504" s="3" t="inlineStr">
        <is>
          <t>8/7</t>
        </is>
      </c>
      <c r="C504" s="3" t="inlineStr">
        <is>
          <t>五</t>
        </is>
      </c>
      <c r="D504" s="3" t="inlineStr">
        <is>
          <t>07:52 19:31</t>
        </is>
      </c>
      <c r="E504" s="4" t="n">
        <v>0.3277777777777778</v>
      </c>
      <c r="F504" s="4" t="n">
        <v>0.8131944444444444</v>
      </c>
      <c r="G504" s="3">
        <f>IF($E504="","空卡",IF($F504="","单卡","正常"))</f>
        <v/>
      </c>
      <c r="H504" s="5">
        <f>IF($G504="正常",ROUND(($F504-$E504)*1440,0),"")</f>
        <v/>
      </c>
      <c r="I504" s="6">
        <f>IF($G504="正常",$H504/60,"")</f>
        <v/>
      </c>
      <c r="J504" s="7">
        <f>IF($G504="正常",ROUND($H504/30,0)/2,"")</f>
        <v/>
      </c>
      <c r="K504" s="7">
        <f>IF($G504="正常",MIN($J504,12),"")</f>
        <v/>
      </c>
      <c r="L504" s="7">
        <f>IF($G504="正常",MAX($J504-12,0),"")</f>
        <v/>
      </c>
    </row>
    <row r="505">
      <c r="A505" s="3" t="inlineStr">
        <is>
          <t>钟景良</t>
        </is>
      </c>
      <c r="B505" s="3" t="inlineStr">
        <is>
          <t>8/8</t>
        </is>
      </c>
      <c r="C505" s="3" t="inlineStr">
        <is>
          <t>六</t>
        </is>
      </c>
      <c r="D505" s="3" t="inlineStr">
        <is>
          <t>08:13 19:37</t>
        </is>
      </c>
      <c r="E505" s="4" t="n">
        <v>0.3423611111111111</v>
      </c>
      <c r="F505" s="4" t="n">
        <v>0.8173611111111111</v>
      </c>
      <c r="G505" s="3">
        <f>IF($E505="","空卡",IF($F505="","单卡","正常"))</f>
        <v/>
      </c>
      <c r="H505" s="5">
        <f>IF($G505="正常",ROUND(($F505-$E505)*1440,0),"")</f>
        <v/>
      </c>
      <c r="I505" s="6">
        <f>IF($G505="正常",$H505/60,"")</f>
        <v/>
      </c>
      <c r="J505" s="7">
        <f>IF($G505="正常",ROUND($H505/30,0)/2,"")</f>
        <v/>
      </c>
      <c r="K505" s="7">
        <f>IF($G505="正常",MIN($J505,12),"")</f>
        <v/>
      </c>
      <c r="L505" s="7">
        <f>IF($G505="正常",MAX($J505-12,0),"")</f>
        <v/>
      </c>
    </row>
    <row r="506">
      <c r="A506" s="8" t="inlineStr">
        <is>
          <t>钟景良</t>
        </is>
      </c>
      <c r="B506" s="8" t="inlineStr">
        <is>
          <t>8/9</t>
        </is>
      </c>
      <c r="C506" s="8" t="inlineStr">
        <is>
          <t>日</t>
        </is>
      </c>
      <c r="D506" s="8" t="inlineStr"/>
      <c r="E506" s="9" t="n"/>
      <c r="F506" s="9" t="n"/>
      <c r="G506" s="10">
        <f>IF($E506="","空卡",IF($F506="","单卡","正常"))</f>
        <v/>
      </c>
      <c r="H506" s="11">
        <f>IF($G506="正常",ROUND(($F506-$E506)*1440,0),"")</f>
        <v/>
      </c>
      <c r="I506" s="12">
        <f>IF($G506="正常",$H506/60,"")</f>
        <v/>
      </c>
      <c r="J506" s="13">
        <f>IF($G506="正常",ROUND($H506/30,0)/2,"")</f>
        <v/>
      </c>
      <c r="K506" s="13">
        <f>IF($G506="正常",MIN($J506,12),"")</f>
        <v/>
      </c>
      <c r="L506" s="13">
        <f>IF($G506="正常",MAX($J506-12,0),"")</f>
        <v/>
      </c>
    </row>
    <row r="507">
      <c r="A507" s="3" t="inlineStr">
        <is>
          <t>钟景良</t>
        </is>
      </c>
      <c r="B507" s="3" t="inlineStr">
        <is>
          <t>8/10</t>
        </is>
      </c>
      <c r="C507" s="3" t="inlineStr">
        <is>
          <t>一</t>
        </is>
      </c>
      <c r="D507" s="3" t="inlineStr">
        <is>
          <t>08:20 19:58</t>
        </is>
      </c>
      <c r="E507" s="4" t="n">
        <v>0.3472222222222222</v>
      </c>
      <c r="F507" s="4" t="n">
        <v>0.8319444444444445</v>
      </c>
      <c r="G507" s="3">
        <f>IF($E507="","空卡",IF($F507="","单卡","正常"))</f>
        <v/>
      </c>
      <c r="H507" s="5">
        <f>IF($G507="正常",ROUND(($F507-$E507)*1440,0),"")</f>
        <v/>
      </c>
      <c r="I507" s="6">
        <f>IF($G507="正常",$H507/60,"")</f>
        <v/>
      </c>
      <c r="J507" s="7">
        <f>IF($G507="正常",ROUND($H507/30,0)/2,"")</f>
        <v/>
      </c>
      <c r="K507" s="7">
        <f>IF($G507="正常",MIN($J507,12),"")</f>
        <v/>
      </c>
      <c r="L507" s="7">
        <f>IF($G507="正常",MAX($J507-12,0),"")</f>
        <v/>
      </c>
    </row>
    <row r="508">
      <c r="A508" s="3" t="inlineStr">
        <is>
          <t>钟景良</t>
        </is>
      </c>
      <c r="B508" s="3" t="inlineStr">
        <is>
          <t>8/11</t>
        </is>
      </c>
      <c r="C508" s="3" t="inlineStr">
        <is>
          <t>二</t>
        </is>
      </c>
      <c r="D508" s="3" t="inlineStr">
        <is>
          <t>08:20 18:12</t>
        </is>
      </c>
      <c r="E508" s="4" t="n">
        <v>0.3472222222222222</v>
      </c>
      <c r="F508" s="4" t="n">
        <v>0.7583333333333333</v>
      </c>
      <c r="G508" s="3">
        <f>IF($E508="","空卡",IF($F508="","单卡","正常"))</f>
        <v/>
      </c>
      <c r="H508" s="5">
        <f>IF($G508="正常",ROUND(($F508-$E508)*1440,0),"")</f>
        <v/>
      </c>
      <c r="I508" s="6">
        <f>IF($G508="正常",$H508/60,"")</f>
        <v/>
      </c>
      <c r="J508" s="7">
        <f>IF($G508="正常",ROUND($H508/30,0)/2,"")</f>
        <v/>
      </c>
      <c r="K508" s="7">
        <f>IF($G508="正常",MIN($J508,12),"")</f>
        <v/>
      </c>
      <c r="L508" s="7">
        <f>IF($G508="正常",MAX($J508-12,0),"")</f>
        <v/>
      </c>
    </row>
    <row r="509">
      <c r="A509" s="3" t="inlineStr">
        <is>
          <t>钟景良</t>
        </is>
      </c>
      <c r="B509" s="3" t="inlineStr">
        <is>
          <t>8/12</t>
        </is>
      </c>
      <c r="C509" s="3" t="inlineStr">
        <is>
          <t>三</t>
        </is>
      </c>
      <c r="D509" s="3" t="inlineStr">
        <is>
          <t>08:20 18:36</t>
        </is>
      </c>
      <c r="E509" s="4" t="n">
        <v>0.3472222222222222</v>
      </c>
      <c r="F509" s="4" t="n">
        <v>0.775</v>
      </c>
      <c r="G509" s="3">
        <f>IF($E509="","空卡",IF($F509="","单卡","正常"))</f>
        <v/>
      </c>
      <c r="H509" s="5">
        <f>IF($G509="正常",ROUND(($F509-$E509)*1440,0),"")</f>
        <v/>
      </c>
      <c r="I509" s="6">
        <f>IF($G509="正常",$H509/60,"")</f>
        <v/>
      </c>
      <c r="J509" s="7">
        <f>IF($G509="正常",ROUND($H509/30,0)/2,"")</f>
        <v/>
      </c>
      <c r="K509" s="7">
        <f>IF($G509="正常",MIN($J509,12),"")</f>
        <v/>
      </c>
      <c r="L509" s="7">
        <f>IF($G509="正常",MAX($J509-12,0),"")</f>
        <v/>
      </c>
    </row>
    <row r="510">
      <c r="A510" s="3" t="inlineStr">
        <is>
          <t>钟景良</t>
        </is>
      </c>
      <c r="B510" s="3" t="inlineStr">
        <is>
          <t>8/13</t>
        </is>
      </c>
      <c r="C510" s="3" t="inlineStr">
        <is>
          <t>四</t>
        </is>
      </c>
      <c r="D510" s="3" t="inlineStr">
        <is>
          <t>09:50 19:29</t>
        </is>
      </c>
      <c r="E510" s="4" t="n">
        <v>0.4097222222222222</v>
      </c>
      <c r="F510" s="4" t="n">
        <v>0.8118055555555556</v>
      </c>
      <c r="G510" s="3">
        <f>IF($E510="","空卡",IF($F510="","单卡","正常"))</f>
        <v/>
      </c>
      <c r="H510" s="5">
        <f>IF($G510="正常",ROUND(($F510-$E510)*1440,0),"")</f>
        <v/>
      </c>
      <c r="I510" s="6">
        <f>IF($G510="正常",$H510/60,"")</f>
        <v/>
      </c>
      <c r="J510" s="7">
        <f>IF($G510="正常",ROUND($H510/30,0)/2,"")</f>
        <v/>
      </c>
      <c r="K510" s="7">
        <f>IF($G510="正常",MIN($J510,12),"")</f>
        <v/>
      </c>
      <c r="L510" s="7">
        <f>IF($G510="正常",MAX($J510-12,0),"")</f>
        <v/>
      </c>
    </row>
    <row r="511">
      <c r="A511" s="3" t="inlineStr">
        <is>
          <t>钟景良</t>
        </is>
      </c>
      <c r="B511" s="3" t="inlineStr">
        <is>
          <t>8/14</t>
        </is>
      </c>
      <c r="C511" s="3" t="inlineStr">
        <is>
          <t>五</t>
        </is>
      </c>
      <c r="D511" s="3" t="inlineStr">
        <is>
          <t>06:52 20:56</t>
        </is>
      </c>
      <c r="E511" s="4" t="n">
        <v>0.2861111111111111</v>
      </c>
      <c r="F511" s="4" t="n">
        <v>0.8722222222222222</v>
      </c>
      <c r="G511" s="3">
        <f>IF($E511="","空卡",IF($F511="","单卡","正常"))</f>
        <v/>
      </c>
      <c r="H511" s="5">
        <f>IF($G511="正常",ROUND(($F511-$E511)*1440,0),"")</f>
        <v/>
      </c>
      <c r="I511" s="6">
        <f>IF($G511="正常",$H511/60,"")</f>
        <v/>
      </c>
      <c r="J511" s="7">
        <f>IF($G511="正常",ROUND($H511/30,0)/2,"")</f>
        <v/>
      </c>
      <c r="K511" s="7">
        <f>IF($G511="正常",MIN($J511,12),"")</f>
        <v/>
      </c>
      <c r="L511" s="7">
        <f>IF($G511="正常",MAX($J511-12,0),"")</f>
        <v/>
      </c>
    </row>
    <row r="512">
      <c r="A512" s="3" t="inlineStr">
        <is>
          <t>钟景良</t>
        </is>
      </c>
      <c r="B512" s="3" t="inlineStr">
        <is>
          <t>8/15</t>
        </is>
      </c>
      <c r="C512" s="3" t="inlineStr">
        <is>
          <t>六</t>
        </is>
      </c>
      <c r="D512" s="3" t="inlineStr">
        <is>
          <t>06:54 19:03</t>
        </is>
      </c>
      <c r="E512" s="4" t="n">
        <v>0.2875</v>
      </c>
      <c r="F512" s="4" t="n">
        <v>0.79375</v>
      </c>
      <c r="G512" s="3">
        <f>IF($E512="","空卡",IF($F512="","单卡","正常"))</f>
        <v/>
      </c>
      <c r="H512" s="5">
        <f>IF($G512="正常",ROUND(($F512-$E512)*1440,0),"")</f>
        <v/>
      </c>
      <c r="I512" s="6">
        <f>IF($G512="正常",$H512/60,"")</f>
        <v/>
      </c>
      <c r="J512" s="7">
        <f>IF($G512="正常",ROUND($H512/30,0)/2,"")</f>
        <v/>
      </c>
      <c r="K512" s="7">
        <f>IF($G512="正常",MIN($J512,12),"")</f>
        <v/>
      </c>
      <c r="L512" s="7">
        <f>IF($G512="正常",MAX($J512-12,0),"")</f>
        <v/>
      </c>
    </row>
    <row r="513">
      <c r="A513" s="8" t="inlineStr">
        <is>
          <t>钟景良</t>
        </is>
      </c>
      <c r="B513" s="8" t="inlineStr">
        <is>
          <t>8/16</t>
        </is>
      </c>
      <c r="C513" s="8" t="inlineStr">
        <is>
          <t>日</t>
        </is>
      </c>
      <c r="D513" s="8" t="inlineStr"/>
      <c r="E513" s="9" t="n"/>
      <c r="F513" s="9" t="n"/>
      <c r="G513" s="10">
        <f>IF($E513="","空卡",IF($F513="","单卡","正常"))</f>
        <v/>
      </c>
      <c r="H513" s="11">
        <f>IF($G513="正常",ROUND(($F513-$E513)*1440,0),"")</f>
        <v/>
      </c>
      <c r="I513" s="12">
        <f>IF($G513="正常",$H513/60,"")</f>
        <v/>
      </c>
      <c r="J513" s="13">
        <f>IF($G513="正常",ROUND($H513/30,0)/2,"")</f>
        <v/>
      </c>
      <c r="K513" s="13">
        <f>IF($G513="正常",MIN($J513,12),"")</f>
        <v/>
      </c>
      <c r="L513" s="13">
        <f>IF($G513="正常",MAX($J513-12,0),"")</f>
        <v/>
      </c>
    </row>
    <row r="514">
      <c r="A514" s="3" t="inlineStr">
        <is>
          <t>钟景良</t>
        </is>
      </c>
      <c r="B514" s="3" t="inlineStr">
        <is>
          <t>8/17</t>
        </is>
      </c>
      <c r="C514" s="3" t="inlineStr">
        <is>
          <t>一</t>
        </is>
      </c>
      <c r="D514" s="3" t="inlineStr">
        <is>
          <t>07:54 19:59</t>
        </is>
      </c>
      <c r="E514" s="4" t="n">
        <v>0.3291666666666667</v>
      </c>
      <c r="F514" s="4" t="n">
        <v>0.8326388888888889</v>
      </c>
      <c r="G514" s="3">
        <f>IF($E514="","空卡",IF($F514="","单卡","正常"))</f>
        <v/>
      </c>
      <c r="H514" s="5">
        <f>IF($G514="正常",ROUND(($F514-$E514)*1440,0),"")</f>
        <v/>
      </c>
      <c r="I514" s="6">
        <f>IF($G514="正常",$H514/60,"")</f>
        <v/>
      </c>
      <c r="J514" s="7">
        <f>IF($G514="正常",ROUND($H514/30,0)/2,"")</f>
        <v/>
      </c>
      <c r="K514" s="7">
        <f>IF($G514="正常",MIN($J514,12),"")</f>
        <v/>
      </c>
      <c r="L514" s="7">
        <f>IF($G514="正常",MAX($J514-12,0),"")</f>
        <v/>
      </c>
    </row>
    <row r="515">
      <c r="A515" s="3" t="inlineStr">
        <is>
          <t>钟景良</t>
        </is>
      </c>
      <c r="B515" s="3" t="inlineStr">
        <is>
          <t>8/18</t>
        </is>
      </c>
      <c r="C515" s="3" t="inlineStr">
        <is>
          <t>二</t>
        </is>
      </c>
      <c r="D515" s="3" t="inlineStr">
        <is>
          <t>07:49 18:58</t>
        </is>
      </c>
      <c r="E515" s="4" t="n">
        <v>0.3256944444444445</v>
      </c>
      <c r="F515" s="4" t="n">
        <v>0.7902777777777777</v>
      </c>
      <c r="G515" s="3">
        <f>IF($E515="","空卡",IF($F515="","单卡","正常"))</f>
        <v/>
      </c>
      <c r="H515" s="5">
        <f>IF($G515="正常",ROUND(($F515-$E515)*1440,0),"")</f>
        <v/>
      </c>
      <c r="I515" s="6">
        <f>IF($G515="正常",$H515/60,"")</f>
        <v/>
      </c>
      <c r="J515" s="7">
        <f>IF($G515="正常",ROUND($H515/30,0)/2,"")</f>
        <v/>
      </c>
      <c r="K515" s="7">
        <f>IF($G515="正常",MIN($J515,12),"")</f>
        <v/>
      </c>
      <c r="L515" s="7">
        <f>IF($G515="正常",MAX($J515-12,0),"")</f>
        <v/>
      </c>
    </row>
    <row r="516">
      <c r="A516" s="3" t="inlineStr">
        <is>
          <t>钟景良</t>
        </is>
      </c>
      <c r="B516" s="3" t="inlineStr">
        <is>
          <t>8/19</t>
        </is>
      </c>
      <c r="C516" s="3" t="inlineStr">
        <is>
          <t>三</t>
        </is>
      </c>
      <c r="D516" s="3" t="inlineStr">
        <is>
          <t>08:52 20:31</t>
        </is>
      </c>
      <c r="E516" s="4" t="n">
        <v>0.3694444444444445</v>
      </c>
      <c r="F516" s="4" t="n">
        <v>0.8548611111111111</v>
      </c>
      <c r="G516" s="3">
        <f>IF($E516="","空卡",IF($F516="","单卡","正常"))</f>
        <v/>
      </c>
      <c r="H516" s="5">
        <f>IF($G516="正常",ROUND(($F516-$E516)*1440,0),"")</f>
        <v/>
      </c>
      <c r="I516" s="6">
        <f>IF($G516="正常",$H516/60,"")</f>
        <v/>
      </c>
      <c r="J516" s="7">
        <f>IF($G516="正常",ROUND($H516/30,0)/2,"")</f>
        <v/>
      </c>
      <c r="K516" s="7">
        <f>IF($G516="正常",MIN($J516,12),"")</f>
        <v/>
      </c>
      <c r="L516" s="7">
        <f>IF($G516="正常",MAX($J516-12,0),"")</f>
        <v/>
      </c>
    </row>
    <row r="517">
      <c r="A517" s="3" t="inlineStr">
        <is>
          <t>钟景良</t>
        </is>
      </c>
      <c r="B517" s="3" t="inlineStr">
        <is>
          <t>8/20</t>
        </is>
      </c>
      <c r="C517" s="3" t="inlineStr">
        <is>
          <t>四</t>
        </is>
      </c>
      <c r="D517" s="3" t="inlineStr">
        <is>
          <t>08:28 19:57</t>
        </is>
      </c>
      <c r="E517" s="4" t="n">
        <v>0.3527777777777778</v>
      </c>
      <c r="F517" s="4" t="n">
        <v>0.83125</v>
      </c>
      <c r="G517" s="3">
        <f>IF($E517="","空卡",IF($F517="","单卡","正常"))</f>
        <v/>
      </c>
      <c r="H517" s="5">
        <f>IF($G517="正常",ROUND(($F517-$E517)*1440,0),"")</f>
        <v/>
      </c>
      <c r="I517" s="6">
        <f>IF($G517="正常",$H517/60,"")</f>
        <v/>
      </c>
      <c r="J517" s="7">
        <f>IF($G517="正常",ROUND($H517/30,0)/2,"")</f>
        <v/>
      </c>
      <c r="K517" s="7">
        <f>IF($G517="正常",MIN($J517,12),"")</f>
        <v/>
      </c>
      <c r="L517" s="7">
        <f>IF($G517="正常",MAX($J517-12,0),"")</f>
        <v/>
      </c>
    </row>
    <row r="518">
      <c r="A518" s="3" t="inlineStr">
        <is>
          <t>钟景良</t>
        </is>
      </c>
      <c r="B518" s="3" t="inlineStr">
        <is>
          <t>8/21</t>
        </is>
      </c>
      <c r="C518" s="3" t="inlineStr">
        <is>
          <t>五</t>
        </is>
      </c>
      <c r="D518" s="3" t="inlineStr">
        <is>
          <t>06:52 19:02</t>
        </is>
      </c>
      <c r="E518" s="4" t="n">
        <v>0.2861111111111111</v>
      </c>
      <c r="F518" s="4" t="n">
        <v>0.7930555555555555</v>
      </c>
      <c r="G518" s="3">
        <f>IF($E518="","空卡",IF($F518="","单卡","正常"))</f>
        <v/>
      </c>
      <c r="H518" s="5">
        <f>IF($G518="正常",ROUND(($F518-$E518)*1440,0),"")</f>
        <v/>
      </c>
      <c r="I518" s="6">
        <f>IF($G518="正常",$H518/60,"")</f>
        <v/>
      </c>
      <c r="J518" s="7">
        <f>IF($G518="正常",ROUND($H518/30,0)/2,"")</f>
        <v/>
      </c>
      <c r="K518" s="7">
        <f>IF($G518="正常",MIN($J518,12),"")</f>
        <v/>
      </c>
      <c r="L518" s="7">
        <f>IF($G518="正常",MAX($J518-12,0),"")</f>
        <v/>
      </c>
    </row>
    <row r="519">
      <c r="A519" s="3" t="inlineStr">
        <is>
          <t>钟景良</t>
        </is>
      </c>
      <c r="B519" s="3" t="inlineStr">
        <is>
          <t>8/22</t>
        </is>
      </c>
      <c r="C519" s="3" t="inlineStr">
        <is>
          <t>六</t>
        </is>
      </c>
      <c r="D519" s="3" t="inlineStr">
        <is>
          <t>06:54 18:32</t>
        </is>
      </c>
      <c r="E519" s="4" t="n">
        <v>0.2875</v>
      </c>
      <c r="F519" s="4" t="n">
        <v>0.7722222222222223</v>
      </c>
      <c r="G519" s="3">
        <f>IF($E519="","空卡",IF($F519="","单卡","正常"))</f>
        <v/>
      </c>
      <c r="H519" s="5">
        <f>IF($G519="正常",ROUND(($F519-$E519)*1440,0),"")</f>
        <v/>
      </c>
      <c r="I519" s="6">
        <f>IF($G519="正常",$H519/60,"")</f>
        <v/>
      </c>
      <c r="J519" s="7">
        <f>IF($G519="正常",ROUND($H519/30,0)/2,"")</f>
        <v/>
      </c>
      <c r="K519" s="7">
        <f>IF($G519="正常",MIN($J519,12),"")</f>
        <v/>
      </c>
      <c r="L519" s="7">
        <f>IF($G519="正常",MAX($J519-12,0),"")</f>
        <v/>
      </c>
    </row>
    <row r="520">
      <c r="A520" s="8" t="inlineStr">
        <is>
          <t>钟景良</t>
        </is>
      </c>
      <c r="B520" s="8" t="inlineStr">
        <is>
          <t>8/23</t>
        </is>
      </c>
      <c r="C520" s="8" t="inlineStr">
        <is>
          <t>日</t>
        </is>
      </c>
      <c r="D520" s="8" t="inlineStr"/>
      <c r="E520" s="9" t="n"/>
      <c r="F520" s="9" t="n"/>
      <c r="G520" s="10">
        <f>IF($E520="","空卡",IF($F520="","单卡","正常"))</f>
        <v/>
      </c>
      <c r="H520" s="11">
        <f>IF($G520="正常",ROUND(($F520-$E520)*1440,0),"")</f>
        <v/>
      </c>
      <c r="I520" s="12">
        <f>IF($G520="正常",$H520/60,"")</f>
        <v/>
      </c>
      <c r="J520" s="13">
        <f>IF($G520="正常",ROUND($H520/30,0)/2,"")</f>
        <v/>
      </c>
      <c r="K520" s="13">
        <f>IF($G520="正常",MIN($J520,12),"")</f>
        <v/>
      </c>
      <c r="L520" s="13">
        <f>IF($G520="正常",MAX($J520-12,0),"")</f>
        <v/>
      </c>
    </row>
    <row r="521">
      <c r="A521" s="3" t="inlineStr">
        <is>
          <t>钟景良</t>
        </is>
      </c>
      <c r="B521" s="3" t="inlineStr">
        <is>
          <t>8/24</t>
        </is>
      </c>
      <c r="C521" s="3" t="inlineStr">
        <is>
          <t>一</t>
        </is>
      </c>
      <c r="D521" s="3" t="inlineStr">
        <is>
          <t>06:52 16:38</t>
        </is>
      </c>
      <c r="E521" s="4" t="n">
        <v>0.2861111111111111</v>
      </c>
      <c r="F521" s="4" t="n">
        <v>0.6930555555555555</v>
      </c>
      <c r="G521" s="3">
        <f>IF($E521="","空卡",IF($F521="","单卡","正常"))</f>
        <v/>
      </c>
      <c r="H521" s="5">
        <f>IF($G521="正常",ROUND(($F521-$E521)*1440,0),"")</f>
        <v/>
      </c>
      <c r="I521" s="6">
        <f>IF($G521="正常",$H521/60,"")</f>
        <v/>
      </c>
      <c r="J521" s="7">
        <f>IF($G521="正常",ROUND($H521/30,0)/2,"")</f>
        <v/>
      </c>
      <c r="K521" s="7">
        <f>IF($G521="正常",MIN($J521,12),"")</f>
        <v/>
      </c>
      <c r="L521" s="7">
        <f>IF($G521="正常",MAX($J521-12,0),"")</f>
        <v/>
      </c>
    </row>
    <row r="522">
      <c r="A522" s="3" t="inlineStr">
        <is>
          <t>钟景良</t>
        </is>
      </c>
      <c r="B522" s="3" t="inlineStr">
        <is>
          <t>8/25</t>
        </is>
      </c>
      <c r="C522" s="3" t="inlineStr">
        <is>
          <t>二</t>
        </is>
      </c>
      <c r="D522" s="3" t="inlineStr">
        <is>
          <t>07:56 20:09</t>
        </is>
      </c>
      <c r="E522" s="4" t="n">
        <v>0.3305555555555555</v>
      </c>
      <c r="F522" s="4" t="n">
        <v>0.8395833333333333</v>
      </c>
      <c r="G522" s="3">
        <f>IF($E522="","空卡",IF($F522="","单卡","正常"))</f>
        <v/>
      </c>
      <c r="H522" s="5">
        <f>IF($G522="正常",ROUND(($F522-$E522)*1440,0),"")</f>
        <v/>
      </c>
      <c r="I522" s="6">
        <f>IF($G522="正常",$H522/60,"")</f>
        <v/>
      </c>
      <c r="J522" s="7">
        <f>IF($G522="正常",ROUND($H522/30,0)/2,"")</f>
        <v/>
      </c>
      <c r="K522" s="7">
        <f>IF($G522="正常",MIN($J522,12),"")</f>
        <v/>
      </c>
      <c r="L522" s="7">
        <f>IF($G522="正常",MAX($J522-12,0),"")</f>
        <v/>
      </c>
    </row>
    <row r="523">
      <c r="A523" s="3" t="inlineStr">
        <is>
          <t>钟景良</t>
        </is>
      </c>
      <c r="B523" s="3" t="inlineStr">
        <is>
          <t>8/26</t>
        </is>
      </c>
      <c r="C523" s="3" t="inlineStr">
        <is>
          <t>三</t>
        </is>
      </c>
      <c r="D523" s="3" t="inlineStr">
        <is>
          <t>07:50 18:59</t>
        </is>
      </c>
      <c r="E523" s="4" t="n">
        <v>0.3263888888888889</v>
      </c>
      <c r="F523" s="4" t="n">
        <v>0.7909722222222222</v>
      </c>
      <c r="G523" s="3">
        <f>IF($E523="","空卡",IF($F523="","单卡","正常"))</f>
        <v/>
      </c>
      <c r="H523" s="5">
        <f>IF($G523="正常",ROUND(($F523-$E523)*1440,0),"")</f>
        <v/>
      </c>
      <c r="I523" s="6">
        <f>IF($G523="正常",$H523/60,"")</f>
        <v/>
      </c>
      <c r="J523" s="7">
        <f>IF($G523="正常",ROUND($H523/30,0)/2,"")</f>
        <v/>
      </c>
      <c r="K523" s="7">
        <f>IF($G523="正常",MIN($J523,12),"")</f>
        <v/>
      </c>
      <c r="L523" s="7">
        <f>IF($G523="正常",MAX($J523-12,0),"")</f>
        <v/>
      </c>
    </row>
    <row r="524">
      <c r="A524" s="3" t="inlineStr">
        <is>
          <t>钟景良</t>
        </is>
      </c>
      <c r="B524" s="3" t="inlineStr">
        <is>
          <t>8/27</t>
        </is>
      </c>
      <c r="C524" s="3" t="inlineStr">
        <is>
          <t>四</t>
        </is>
      </c>
      <c r="D524" s="3" t="inlineStr">
        <is>
          <t>07:50 19:27</t>
        </is>
      </c>
      <c r="E524" s="4" t="n">
        <v>0.3263888888888889</v>
      </c>
      <c r="F524" s="4" t="n">
        <v>0.8104166666666667</v>
      </c>
      <c r="G524" s="3">
        <f>IF($E524="","空卡",IF($F524="","单卡","正常"))</f>
        <v/>
      </c>
      <c r="H524" s="5">
        <f>IF($G524="正常",ROUND(($F524-$E524)*1440,0),"")</f>
        <v/>
      </c>
      <c r="I524" s="6">
        <f>IF($G524="正常",$H524/60,"")</f>
        <v/>
      </c>
      <c r="J524" s="7">
        <f>IF($G524="正常",ROUND($H524/30,0)/2,"")</f>
        <v/>
      </c>
      <c r="K524" s="7">
        <f>IF($G524="正常",MIN($J524,12),"")</f>
        <v/>
      </c>
      <c r="L524" s="7">
        <f>IF($G524="正常",MAX($J524-12,0),"")</f>
        <v/>
      </c>
    </row>
    <row r="525">
      <c r="A525" s="3" t="inlineStr">
        <is>
          <t>钟景良</t>
        </is>
      </c>
      <c r="B525" s="3" t="inlineStr">
        <is>
          <t>8/28</t>
        </is>
      </c>
      <c r="C525" s="3" t="inlineStr">
        <is>
          <t>五</t>
        </is>
      </c>
      <c r="D525" s="3" t="inlineStr">
        <is>
          <t>07:50 19:37</t>
        </is>
      </c>
      <c r="E525" s="4" t="n">
        <v>0.3263888888888889</v>
      </c>
      <c r="F525" s="4" t="n">
        <v>0.8173611111111111</v>
      </c>
      <c r="G525" s="3">
        <f>IF($E525="","空卡",IF($F525="","单卡","正常"))</f>
        <v/>
      </c>
      <c r="H525" s="5">
        <f>IF($G525="正常",ROUND(($F525-$E525)*1440,0),"")</f>
        <v/>
      </c>
      <c r="I525" s="6">
        <f>IF($G525="正常",$H525/60,"")</f>
        <v/>
      </c>
      <c r="J525" s="7">
        <f>IF($G525="正常",ROUND($H525/30,0)/2,"")</f>
        <v/>
      </c>
      <c r="K525" s="7">
        <f>IF($G525="正常",MIN($J525,12),"")</f>
        <v/>
      </c>
      <c r="L525" s="7">
        <f>IF($G525="正常",MAX($J525-12,0),"")</f>
        <v/>
      </c>
    </row>
    <row r="526">
      <c r="A526" s="3" t="inlineStr">
        <is>
          <t>钟景良</t>
        </is>
      </c>
      <c r="B526" s="3" t="inlineStr">
        <is>
          <t>8/29</t>
        </is>
      </c>
      <c r="C526" s="3" t="inlineStr">
        <is>
          <t>六</t>
        </is>
      </c>
      <c r="D526" s="3" t="inlineStr">
        <is>
          <t>07:50 22:56</t>
        </is>
      </c>
      <c r="E526" s="4" t="n">
        <v>0.3263888888888889</v>
      </c>
      <c r="F526" s="4" t="n">
        <v>0.9555555555555556</v>
      </c>
      <c r="G526" s="3">
        <f>IF($E526="","空卡",IF($F526="","单卡","正常"))</f>
        <v/>
      </c>
      <c r="H526" s="5">
        <f>IF($G526="正常",ROUND(($F526-$E526)*1440,0),"")</f>
        <v/>
      </c>
      <c r="I526" s="6">
        <f>IF($G526="正常",$H526/60,"")</f>
        <v/>
      </c>
      <c r="J526" s="7">
        <f>IF($G526="正常",ROUND($H526/30,0)/2,"")</f>
        <v/>
      </c>
      <c r="K526" s="7">
        <f>IF($G526="正常",MIN($J526,12),"")</f>
        <v/>
      </c>
      <c r="L526" s="7">
        <f>IF($G526="正常",MAX($J526-12,0),"")</f>
        <v/>
      </c>
    </row>
    <row r="527">
      <c r="A527" s="3" t="inlineStr">
        <is>
          <t>钟景良</t>
        </is>
      </c>
      <c r="B527" s="3" t="inlineStr">
        <is>
          <t>8/30</t>
        </is>
      </c>
      <c r="C527" s="3" t="inlineStr">
        <is>
          <t>日</t>
        </is>
      </c>
      <c r="D527" s="3" t="inlineStr">
        <is>
          <t>07:50 19:27</t>
        </is>
      </c>
      <c r="E527" s="4" t="n">
        <v>0.3263888888888889</v>
      </c>
      <c r="F527" s="4" t="n">
        <v>0.8104166666666667</v>
      </c>
      <c r="G527" s="3">
        <f>IF($E527="","空卡",IF($F527="","单卡","正常"))</f>
        <v/>
      </c>
      <c r="H527" s="5">
        <f>IF($G527="正常",ROUND(($F527-$E527)*1440,0),"")</f>
        <v/>
      </c>
      <c r="I527" s="6">
        <f>IF($G527="正常",$H527/60,"")</f>
        <v/>
      </c>
      <c r="J527" s="7">
        <f>IF($G527="正常",ROUND($H527/30,0)/2,"")</f>
        <v/>
      </c>
      <c r="K527" s="7">
        <f>IF($G527="正常",MIN($J527,12),"")</f>
        <v/>
      </c>
      <c r="L527" s="7">
        <f>IF($G527="正常",MAX($J527-12,0),"")</f>
        <v/>
      </c>
    </row>
    <row r="528">
      <c r="A528" s="8" t="inlineStr">
        <is>
          <t>钟景良</t>
        </is>
      </c>
      <c r="B528" s="8" t="inlineStr">
        <is>
          <t>8/31</t>
        </is>
      </c>
      <c r="C528" s="8" t="inlineStr">
        <is>
          <t>一</t>
        </is>
      </c>
      <c r="D528" s="8" t="inlineStr"/>
      <c r="E528" s="9" t="n"/>
      <c r="F528" s="9" t="n"/>
      <c r="G528" s="10">
        <f>IF($E528="","空卡",IF($F528="","单卡","正常"))</f>
        <v/>
      </c>
      <c r="H528" s="11">
        <f>IF($G528="正常",ROUND(($F528-$E528)*1440,0),"")</f>
        <v/>
      </c>
      <c r="I528" s="12">
        <f>IF($G528="正常",$H528/60,"")</f>
        <v/>
      </c>
      <c r="J528" s="13">
        <f>IF($G528="正常",ROUND($H528/30,0)/2,"")</f>
        <v/>
      </c>
      <c r="K528" s="13">
        <f>IF($G528="正常",MIN($J528,12),"")</f>
        <v/>
      </c>
      <c r="L528" s="13">
        <f>IF($G528="正常",MAX($J528-12,0),"")</f>
        <v/>
      </c>
    </row>
    <row r="529">
      <c r="A529" s="3" t="inlineStr">
        <is>
          <t>谢安德</t>
        </is>
      </c>
      <c r="B529" s="3" t="inlineStr">
        <is>
          <t>8/1</t>
        </is>
      </c>
      <c r="C529" s="3" t="inlineStr">
        <is>
          <t>六</t>
        </is>
      </c>
      <c r="D529" s="3" t="inlineStr">
        <is>
          <t>07:51 17:01</t>
        </is>
      </c>
      <c r="E529" s="4" t="n">
        <v>0.3270833333333333</v>
      </c>
      <c r="F529" s="4" t="n">
        <v>0.7090277777777778</v>
      </c>
      <c r="G529" s="3">
        <f>IF($E529="","空卡",IF($F529="","单卡","正常"))</f>
        <v/>
      </c>
      <c r="H529" s="5">
        <f>IF($G529="正常",ROUND(($F529-$E529)*1440,0),"")</f>
        <v/>
      </c>
      <c r="I529" s="6">
        <f>IF($G529="正常",$H529/60,"")</f>
        <v/>
      </c>
      <c r="J529" s="7">
        <f>IF($G529="正常",ROUND($H529/30,0)/2,"")</f>
        <v/>
      </c>
      <c r="K529" s="7">
        <f>IF($G529="正常",MIN($J529,12),"")</f>
        <v/>
      </c>
      <c r="L529" s="7">
        <f>IF($G529="正常",MAX($J529-12,0),"")</f>
        <v/>
      </c>
    </row>
    <row r="530">
      <c r="A530" s="3" t="inlineStr">
        <is>
          <t>谢安德</t>
        </is>
      </c>
      <c r="B530" s="3" t="inlineStr">
        <is>
          <t>8/2</t>
        </is>
      </c>
      <c r="C530" s="3" t="inlineStr">
        <is>
          <t>日</t>
        </is>
      </c>
      <c r="D530" s="3" t="inlineStr">
        <is>
          <t>07:57 15:04</t>
        </is>
      </c>
      <c r="E530" s="4" t="n">
        <v>0.33125</v>
      </c>
      <c r="F530" s="4" t="n">
        <v>0.6277777777777778</v>
      </c>
      <c r="G530" s="3">
        <f>IF($E530="","空卡",IF($F530="","单卡","正常"))</f>
        <v/>
      </c>
      <c r="H530" s="5">
        <f>IF($G530="正常",ROUND(($F530-$E530)*1440,0),"")</f>
        <v/>
      </c>
      <c r="I530" s="6">
        <f>IF($G530="正常",$H530/60,"")</f>
        <v/>
      </c>
      <c r="J530" s="7">
        <f>IF($G530="正常",ROUND($H530/30,0)/2,"")</f>
        <v/>
      </c>
      <c r="K530" s="7">
        <f>IF($G530="正常",MIN($J530,12),"")</f>
        <v/>
      </c>
      <c r="L530" s="7">
        <f>IF($G530="正常",MAX($J530-12,0),"")</f>
        <v/>
      </c>
    </row>
    <row r="531">
      <c r="A531" s="3" t="inlineStr">
        <is>
          <t>谢安德</t>
        </is>
      </c>
      <c r="B531" s="3" t="inlineStr">
        <is>
          <t>8/3</t>
        </is>
      </c>
      <c r="C531" s="3" t="inlineStr">
        <is>
          <t>一</t>
        </is>
      </c>
      <c r="D531" s="3" t="inlineStr">
        <is>
          <t>08:27 15:32</t>
        </is>
      </c>
      <c r="E531" s="4" t="n">
        <v>0.3520833333333334</v>
      </c>
      <c r="F531" s="4" t="n">
        <v>0.6472222222222223</v>
      </c>
      <c r="G531" s="3">
        <f>IF($E531="","空卡",IF($F531="","单卡","正常"))</f>
        <v/>
      </c>
      <c r="H531" s="5">
        <f>IF($G531="正常",ROUND(($F531-$E531)*1440,0),"")</f>
        <v/>
      </c>
      <c r="I531" s="6">
        <f>IF($G531="正常",$H531/60,"")</f>
        <v/>
      </c>
      <c r="J531" s="7">
        <f>IF($G531="正常",ROUND($H531/30,0)/2,"")</f>
        <v/>
      </c>
      <c r="K531" s="7">
        <f>IF($G531="正常",MIN($J531,12),"")</f>
        <v/>
      </c>
      <c r="L531" s="7">
        <f>IF($G531="正常",MAX($J531-12,0),"")</f>
        <v/>
      </c>
    </row>
    <row r="532">
      <c r="A532" s="3" t="inlineStr">
        <is>
          <t>谢安德</t>
        </is>
      </c>
      <c r="B532" s="3" t="inlineStr">
        <is>
          <t>8/4</t>
        </is>
      </c>
      <c r="C532" s="3" t="inlineStr">
        <is>
          <t>二</t>
        </is>
      </c>
      <c r="D532" s="3" t="inlineStr">
        <is>
          <t>07:47 19:33</t>
        </is>
      </c>
      <c r="E532" s="4" t="n">
        <v>0.3243055555555556</v>
      </c>
      <c r="F532" s="4" t="n">
        <v>0.8145833333333333</v>
      </c>
      <c r="G532" s="3">
        <f>IF($E532="","空卡",IF($F532="","单卡","正常"))</f>
        <v/>
      </c>
      <c r="H532" s="5">
        <f>IF($G532="正常",ROUND(($F532-$E532)*1440,0),"")</f>
        <v/>
      </c>
      <c r="I532" s="6">
        <f>IF($G532="正常",$H532/60,"")</f>
        <v/>
      </c>
      <c r="J532" s="7">
        <f>IF($G532="正常",ROUND($H532/30,0)/2,"")</f>
        <v/>
      </c>
      <c r="K532" s="7">
        <f>IF($G532="正常",MIN($J532,12),"")</f>
        <v/>
      </c>
      <c r="L532" s="7">
        <f>IF($G532="正常",MAX($J532-12,0),"")</f>
        <v/>
      </c>
    </row>
    <row r="533">
      <c r="A533" s="3" t="inlineStr">
        <is>
          <t>谢安德</t>
        </is>
      </c>
      <c r="B533" s="3" t="inlineStr">
        <is>
          <t>8/5</t>
        </is>
      </c>
      <c r="C533" s="3" t="inlineStr">
        <is>
          <t>三</t>
        </is>
      </c>
      <c r="D533" s="3" t="inlineStr">
        <is>
          <t>09:29 19:36</t>
        </is>
      </c>
      <c r="E533" s="4" t="n">
        <v>0.3951388888888889</v>
      </c>
      <c r="F533" s="4" t="n">
        <v>0.8166666666666667</v>
      </c>
      <c r="G533" s="3">
        <f>IF($E533="","空卡",IF($F533="","单卡","正常"))</f>
        <v/>
      </c>
      <c r="H533" s="5">
        <f>IF($G533="正常",ROUND(($F533-$E533)*1440,0),"")</f>
        <v/>
      </c>
      <c r="I533" s="6">
        <f>IF($G533="正常",$H533/60,"")</f>
        <v/>
      </c>
      <c r="J533" s="7">
        <f>IF($G533="正常",ROUND($H533/30,0)/2,"")</f>
        <v/>
      </c>
      <c r="K533" s="7">
        <f>IF($G533="正常",MIN($J533,12),"")</f>
        <v/>
      </c>
      <c r="L533" s="7">
        <f>IF($G533="正常",MAX($J533-12,0),"")</f>
        <v/>
      </c>
    </row>
    <row r="534">
      <c r="A534" s="3" t="inlineStr">
        <is>
          <t>谢安德</t>
        </is>
      </c>
      <c r="B534" s="3" t="inlineStr">
        <is>
          <t>8/6</t>
        </is>
      </c>
      <c r="C534" s="3" t="inlineStr">
        <is>
          <t>四</t>
        </is>
      </c>
      <c r="D534" s="3" t="inlineStr">
        <is>
          <t>08:48 19:00</t>
        </is>
      </c>
      <c r="E534" s="4" t="n">
        <v>0.3666666666666666</v>
      </c>
      <c r="F534" s="4" t="n">
        <v>0.7916666666666666</v>
      </c>
      <c r="G534" s="3">
        <f>IF($E534="","空卡",IF($F534="","单卡","正常"))</f>
        <v/>
      </c>
      <c r="H534" s="5">
        <f>IF($G534="正常",ROUND(($F534-$E534)*1440,0),"")</f>
        <v/>
      </c>
      <c r="I534" s="6">
        <f>IF($G534="正常",$H534/60,"")</f>
        <v/>
      </c>
      <c r="J534" s="7">
        <f>IF($G534="正常",ROUND($H534/30,0)/2,"")</f>
        <v/>
      </c>
      <c r="K534" s="7">
        <f>IF($G534="正常",MIN($J534,12),"")</f>
        <v/>
      </c>
      <c r="L534" s="7">
        <f>IF($G534="正常",MAX($J534-12,0),"")</f>
        <v/>
      </c>
    </row>
    <row r="535">
      <c r="A535" s="3" t="inlineStr">
        <is>
          <t>谢安德</t>
        </is>
      </c>
      <c r="B535" s="3" t="inlineStr">
        <is>
          <t>8/7</t>
        </is>
      </c>
      <c r="C535" s="3" t="inlineStr">
        <is>
          <t>五</t>
        </is>
      </c>
      <c r="D535" s="3" t="inlineStr">
        <is>
          <t>07:52 19:31</t>
        </is>
      </c>
      <c r="E535" s="4" t="n">
        <v>0.3277777777777778</v>
      </c>
      <c r="F535" s="4" t="n">
        <v>0.8131944444444444</v>
      </c>
      <c r="G535" s="3">
        <f>IF($E535="","空卡",IF($F535="","单卡","正常"))</f>
        <v/>
      </c>
      <c r="H535" s="5">
        <f>IF($G535="正常",ROUND(($F535-$E535)*1440,0),"")</f>
        <v/>
      </c>
      <c r="I535" s="6">
        <f>IF($G535="正常",$H535/60,"")</f>
        <v/>
      </c>
      <c r="J535" s="7">
        <f>IF($G535="正常",ROUND($H535/30,0)/2,"")</f>
        <v/>
      </c>
      <c r="K535" s="7">
        <f>IF($G535="正常",MIN($J535,12),"")</f>
        <v/>
      </c>
      <c r="L535" s="7">
        <f>IF($G535="正常",MAX($J535-12,0),"")</f>
        <v/>
      </c>
    </row>
    <row r="536">
      <c r="A536" s="3" t="inlineStr">
        <is>
          <t>谢安德</t>
        </is>
      </c>
      <c r="B536" s="3" t="inlineStr">
        <is>
          <t>8/8</t>
        </is>
      </c>
      <c r="C536" s="3" t="inlineStr">
        <is>
          <t>六</t>
        </is>
      </c>
      <c r="D536" s="3" t="inlineStr">
        <is>
          <t>08:13 19:37</t>
        </is>
      </c>
      <c r="E536" s="4" t="n">
        <v>0.3423611111111111</v>
      </c>
      <c r="F536" s="4" t="n">
        <v>0.8173611111111111</v>
      </c>
      <c r="G536" s="3">
        <f>IF($E536="","空卡",IF($F536="","单卡","正常"))</f>
        <v/>
      </c>
      <c r="H536" s="5">
        <f>IF($G536="正常",ROUND(($F536-$E536)*1440,0),"")</f>
        <v/>
      </c>
      <c r="I536" s="6">
        <f>IF($G536="正常",$H536/60,"")</f>
        <v/>
      </c>
      <c r="J536" s="7">
        <f>IF($G536="正常",ROUND($H536/30,0)/2,"")</f>
        <v/>
      </c>
      <c r="K536" s="7">
        <f>IF($G536="正常",MIN($J536,12),"")</f>
        <v/>
      </c>
      <c r="L536" s="7">
        <f>IF($G536="正常",MAX($J536-12,0),"")</f>
        <v/>
      </c>
    </row>
    <row r="537">
      <c r="A537" s="8" t="inlineStr">
        <is>
          <t>谢安德</t>
        </is>
      </c>
      <c r="B537" s="8" t="inlineStr">
        <is>
          <t>8/9</t>
        </is>
      </c>
      <c r="C537" s="8" t="inlineStr">
        <is>
          <t>日</t>
        </is>
      </c>
      <c r="D537" s="8" t="inlineStr"/>
      <c r="E537" s="9" t="n"/>
      <c r="F537" s="9" t="n"/>
      <c r="G537" s="10">
        <f>IF($E537="","空卡",IF($F537="","单卡","正常"))</f>
        <v/>
      </c>
      <c r="H537" s="11">
        <f>IF($G537="正常",ROUND(($F537-$E537)*1440,0),"")</f>
        <v/>
      </c>
      <c r="I537" s="12">
        <f>IF($G537="正常",$H537/60,"")</f>
        <v/>
      </c>
      <c r="J537" s="13">
        <f>IF($G537="正常",ROUND($H537/30,0)/2,"")</f>
        <v/>
      </c>
      <c r="K537" s="13">
        <f>IF($G537="正常",MIN($J537,12),"")</f>
        <v/>
      </c>
      <c r="L537" s="13">
        <f>IF($G537="正常",MAX($J537-12,0),"")</f>
        <v/>
      </c>
    </row>
    <row r="538">
      <c r="A538" s="8" t="inlineStr">
        <is>
          <t>谢安德</t>
        </is>
      </c>
      <c r="B538" s="8" t="inlineStr">
        <is>
          <t>8/10</t>
        </is>
      </c>
      <c r="C538" s="8" t="inlineStr">
        <is>
          <t>一</t>
        </is>
      </c>
      <c r="D538" s="8" t="inlineStr"/>
      <c r="E538" s="9" t="n"/>
      <c r="F538" s="9" t="n"/>
      <c r="G538" s="10">
        <f>IF($E538="","空卡",IF($F538="","单卡","正常"))</f>
        <v/>
      </c>
      <c r="H538" s="11">
        <f>IF($G538="正常",ROUND(($F538-$E538)*1440,0),"")</f>
        <v/>
      </c>
      <c r="I538" s="12">
        <f>IF($G538="正常",$H538/60,"")</f>
        <v/>
      </c>
      <c r="J538" s="13">
        <f>IF($G538="正常",ROUND($H538/30,0)/2,"")</f>
        <v/>
      </c>
      <c r="K538" s="13">
        <f>IF($G538="正常",MIN($J538,12),"")</f>
        <v/>
      </c>
      <c r="L538" s="13">
        <f>IF($G538="正常",MAX($J538-12,0),"")</f>
        <v/>
      </c>
    </row>
    <row r="539">
      <c r="A539" s="8" t="inlineStr">
        <is>
          <t>谢安德</t>
        </is>
      </c>
      <c r="B539" s="8" t="inlineStr">
        <is>
          <t>8/11</t>
        </is>
      </c>
      <c r="C539" s="8" t="inlineStr">
        <is>
          <t>二</t>
        </is>
      </c>
      <c r="D539" s="8" t="inlineStr"/>
      <c r="E539" s="9" t="n"/>
      <c r="F539" s="9" t="n"/>
      <c r="G539" s="10">
        <f>IF($E539="","空卡",IF($F539="","单卡","正常"))</f>
        <v/>
      </c>
      <c r="H539" s="11">
        <f>IF($G539="正常",ROUND(($F539-$E539)*1440,0),"")</f>
        <v/>
      </c>
      <c r="I539" s="12">
        <f>IF($G539="正常",$H539/60,"")</f>
        <v/>
      </c>
      <c r="J539" s="13">
        <f>IF($G539="正常",ROUND($H539/30,0)/2,"")</f>
        <v/>
      </c>
      <c r="K539" s="13">
        <f>IF($G539="正常",MIN($J539,12),"")</f>
        <v/>
      </c>
      <c r="L539" s="13">
        <f>IF($G539="正常",MAX($J539-12,0),"")</f>
        <v/>
      </c>
    </row>
    <row r="540">
      <c r="A540" s="8" t="inlineStr">
        <is>
          <t>谢安德</t>
        </is>
      </c>
      <c r="B540" s="8" t="inlineStr">
        <is>
          <t>8/12</t>
        </is>
      </c>
      <c r="C540" s="8" t="inlineStr">
        <is>
          <t>三</t>
        </is>
      </c>
      <c r="D540" s="8" t="inlineStr">
        <is>
          <t>08:20</t>
        </is>
      </c>
      <c r="E540" s="9" t="n">
        <v>0.3472222222222222</v>
      </c>
      <c r="F540" s="9" t="n"/>
      <c r="G540" s="10">
        <f>IF($E540="","空卡",IF($F540="","单卡","正常"))</f>
        <v/>
      </c>
      <c r="H540" s="11">
        <f>IF($G540="正常",ROUND(($F540-$E540)*1440,0),"")</f>
        <v/>
      </c>
      <c r="I540" s="12">
        <f>IF($G540="正常",$H540/60,"")</f>
        <v/>
      </c>
      <c r="J540" s="13">
        <f>IF($G540="正常",ROUND($H540/30,0)/2,"")</f>
        <v/>
      </c>
      <c r="K540" s="13">
        <f>IF($G540="正常",MIN($J540,12),"")</f>
        <v/>
      </c>
      <c r="L540" s="13">
        <f>IF($G540="正常",MAX($J540-12,0),"")</f>
        <v/>
      </c>
    </row>
    <row r="541">
      <c r="A541" s="3" t="inlineStr">
        <is>
          <t>谢安德</t>
        </is>
      </c>
      <c r="B541" s="3" t="inlineStr">
        <is>
          <t>8/13</t>
        </is>
      </c>
      <c r="C541" s="3" t="inlineStr">
        <is>
          <t>四</t>
        </is>
      </c>
      <c r="D541" s="3" t="inlineStr">
        <is>
          <t>09:47 19:29</t>
        </is>
      </c>
      <c r="E541" s="4" t="n">
        <v>0.4076388888888889</v>
      </c>
      <c r="F541" s="4" t="n">
        <v>0.8118055555555556</v>
      </c>
      <c r="G541" s="3">
        <f>IF($E541="","空卡",IF($F541="","单卡","正常"))</f>
        <v/>
      </c>
      <c r="H541" s="5">
        <f>IF($G541="正常",ROUND(($F541-$E541)*1440,0),"")</f>
        <v/>
      </c>
      <c r="I541" s="6">
        <f>IF($G541="正常",$H541/60,"")</f>
        <v/>
      </c>
      <c r="J541" s="7">
        <f>IF($G541="正常",ROUND($H541/30,0)/2,"")</f>
        <v/>
      </c>
      <c r="K541" s="7">
        <f>IF($G541="正常",MIN($J541,12),"")</f>
        <v/>
      </c>
      <c r="L541" s="7">
        <f>IF($G541="正常",MAX($J541-12,0),"")</f>
        <v/>
      </c>
    </row>
    <row r="542">
      <c r="A542" s="3" t="inlineStr">
        <is>
          <t>谢安德</t>
        </is>
      </c>
      <c r="B542" s="3" t="inlineStr">
        <is>
          <t>8/14</t>
        </is>
      </c>
      <c r="C542" s="3" t="inlineStr">
        <is>
          <t>五</t>
        </is>
      </c>
      <c r="D542" s="3" t="inlineStr">
        <is>
          <t>06:49 20:57</t>
        </is>
      </c>
      <c r="E542" s="4" t="n">
        <v>0.2840277777777778</v>
      </c>
      <c r="F542" s="4" t="n">
        <v>0.8729166666666667</v>
      </c>
      <c r="G542" s="3">
        <f>IF($E542="","空卡",IF($F542="","单卡","正常"))</f>
        <v/>
      </c>
      <c r="H542" s="5">
        <f>IF($G542="正常",ROUND(($F542-$E542)*1440,0),"")</f>
        <v/>
      </c>
      <c r="I542" s="6">
        <f>IF($G542="正常",$H542/60,"")</f>
        <v/>
      </c>
      <c r="J542" s="7">
        <f>IF($G542="正常",ROUND($H542/30,0)/2,"")</f>
        <v/>
      </c>
      <c r="K542" s="7">
        <f>IF($G542="正常",MIN($J542,12),"")</f>
        <v/>
      </c>
      <c r="L542" s="7">
        <f>IF($G542="正常",MAX($J542-12,0),"")</f>
        <v/>
      </c>
    </row>
    <row r="543">
      <c r="A543" s="3" t="inlineStr">
        <is>
          <t>谢安德</t>
        </is>
      </c>
      <c r="B543" s="3" t="inlineStr">
        <is>
          <t>8/15</t>
        </is>
      </c>
      <c r="C543" s="3" t="inlineStr">
        <is>
          <t>六</t>
        </is>
      </c>
      <c r="D543" s="3" t="inlineStr">
        <is>
          <t>06:52 19:11</t>
        </is>
      </c>
      <c r="E543" s="4" t="n">
        <v>0.2861111111111111</v>
      </c>
      <c r="F543" s="4" t="n">
        <v>0.7993055555555556</v>
      </c>
      <c r="G543" s="3">
        <f>IF($E543="","空卡",IF($F543="","单卡","正常"))</f>
        <v/>
      </c>
      <c r="H543" s="5">
        <f>IF($G543="正常",ROUND(($F543-$E543)*1440,0),"")</f>
        <v/>
      </c>
      <c r="I543" s="6">
        <f>IF($G543="正常",$H543/60,"")</f>
        <v/>
      </c>
      <c r="J543" s="7">
        <f>IF($G543="正常",ROUND($H543/30,0)/2,"")</f>
        <v/>
      </c>
      <c r="K543" s="7">
        <f>IF($G543="正常",MIN($J543,12),"")</f>
        <v/>
      </c>
      <c r="L543" s="7">
        <f>IF($G543="正常",MAX($J543-12,0),"")</f>
        <v/>
      </c>
    </row>
    <row r="544">
      <c r="A544" s="3" t="inlineStr">
        <is>
          <t>谢安德</t>
        </is>
      </c>
      <c r="B544" s="3" t="inlineStr">
        <is>
          <t>8/16</t>
        </is>
      </c>
      <c r="C544" s="3" t="inlineStr">
        <is>
          <t>日</t>
        </is>
      </c>
      <c r="D544" s="3" t="inlineStr">
        <is>
          <t>07:55 18:20</t>
        </is>
      </c>
      <c r="E544" s="4" t="n">
        <v>0.3298611111111111</v>
      </c>
      <c r="F544" s="4" t="n">
        <v>0.7638888888888888</v>
      </c>
      <c r="G544" s="3">
        <f>IF($E544="","空卡",IF($F544="","单卡","正常"))</f>
        <v/>
      </c>
      <c r="H544" s="5">
        <f>IF($G544="正常",ROUND(($F544-$E544)*1440,0),"")</f>
        <v/>
      </c>
      <c r="I544" s="6">
        <f>IF($G544="正常",$H544/60,"")</f>
        <v/>
      </c>
      <c r="J544" s="7">
        <f>IF($G544="正常",ROUND($H544/30,0)/2,"")</f>
        <v/>
      </c>
      <c r="K544" s="7">
        <f>IF($G544="正常",MIN($J544,12),"")</f>
        <v/>
      </c>
      <c r="L544" s="7">
        <f>IF($G544="正常",MAX($J544-12,0),"")</f>
        <v/>
      </c>
    </row>
    <row r="545">
      <c r="A545" s="3" t="inlineStr">
        <is>
          <t>谢安德</t>
        </is>
      </c>
      <c r="B545" s="3" t="inlineStr">
        <is>
          <t>8/17</t>
        </is>
      </c>
      <c r="C545" s="3" t="inlineStr">
        <is>
          <t>一</t>
        </is>
      </c>
      <c r="D545" s="3" t="inlineStr">
        <is>
          <t>07:46 19:56</t>
        </is>
      </c>
      <c r="E545" s="4" t="n">
        <v>0.3236111111111111</v>
      </c>
      <c r="F545" s="4" t="n">
        <v>0.8305555555555556</v>
      </c>
      <c r="G545" s="3">
        <f>IF($E545="","空卡",IF($F545="","单卡","正常"))</f>
        <v/>
      </c>
      <c r="H545" s="5">
        <f>IF($G545="正常",ROUND(($F545-$E545)*1440,0),"")</f>
        <v/>
      </c>
      <c r="I545" s="6">
        <f>IF($G545="正常",$H545/60,"")</f>
        <v/>
      </c>
      <c r="J545" s="7">
        <f>IF($G545="正常",ROUND($H545/30,0)/2,"")</f>
        <v/>
      </c>
      <c r="K545" s="7">
        <f>IF($G545="正常",MIN($J545,12),"")</f>
        <v/>
      </c>
      <c r="L545" s="7">
        <f>IF($G545="正常",MAX($J545-12,0),"")</f>
        <v/>
      </c>
    </row>
    <row r="546">
      <c r="A546" s="3" t="inlineStr">
        <is>
          <t>谢安德</t>
        </is>
      </c>
      <c r="B546" s="3" t="inlineStr">
        <is>
          <t>8/18</t>
        </is>
      </c>
      <c r="C546" s="3" t="inlineStr">
        <is>
          <t>二</t>
        </is>
      </c>
      <c r="D546" s="3" t="inlineStr">
        <is>
          <t>07:50 18:57</t>
        </is>
      </c>
      <c r="E546" s="4" t="n">
        <v>0.3263888888888889</v>
      </c>
      <c r="F546" s="4" t="n">
        <v>0.7895833333333333</v>
      </c>
      <c r="G546" s="3">
        <f>IF($E546="","空卡",IF($F546="","单卡","正常"))</f>
        <v/>
      </c>
      <c r="H546" s="5">
        <f>IF($G546="正常",ROUND(($F546-$E546)*1440,0),"")</f>
        <v/>
      </c>
      <c r="I546" s="6">
        <f>IF($G546="正常",$H546/60,"")</f>
        <v/>
      </c>
      <c r="J546" s="7">
        <f>IF($G546="正常",ROUND($H546/30,0)/2,"")</f>
        <v/>
      </c>
      <c r="K546" s="7">
        <f>IF($G546="正常",MIN($J546,12),"")</f>
        <v/>
      </c>
      <c r="L546" s="7">
        <f>IF($G546="正常",MAX($J546-12,0),"")</f>
        <v/>
      </c>
    </row>
    <row r="547">
      <c r="A547" s="3" t="inlineStr">
        <is>
          <t>谢安德</t>
        </is>
      </c>
      <c r="B547" s="3" t="inlineStr">
        <is>
          <t>8/19</t>
        </is>
      </c>
      <c r="C547" s="3" t="inlineStr">
        <is>
          <t>三</t>
        </is>
      </c>
      <c r="D547" s="3" t="inlineStr">
        <is>
          <t>08:52 20:32</t>
        </is>
      </c>
      <c r="E547" s="4" t="n">
        <v>0.3694444444444445</v>
      </c>
      <c r="F547" s="4" t="n">
        <v>0.8555555555555555</v>
      </c>
      <c r="G547" s="3">
        <f>IF($E547="","空卡",IF($F547="","单卡","正常"))</f>
        <v/>
      </c>
      <c r="H547" s="5">
        <f>IF($G547="正常",ROUND(($F547-$E547)*1440,0),"")</f>
        <v/>
      </c>
      <c r="I547" s="6">
        <f>IF($G547="正常",$H547/60,"")</f>
        <v/>
      </c>
      <c r="J547" s="7">
        <f>IF($G547="正常",ROUND($H547/30,0)/2,"")</f>
        <v/>
      </c>
      <c r="K547" s="7">
        <f>IF($G547="正常",MIN($J547,12),"")</f>
        <v/>
      </c>
      <c r="L547" s="7">
        <f>IF($G547="正常",MAX($J547-12,0),"")</f>
        <v/>
      </c>
    </row>
    <row r="548">
      <c r="A548" s="3" t="inlineStr">
        <is>
          <t>谢安德</t>
        </is>
      </c>
      <c r="B548" s="3" t="inlineStr">
        <is>
          <t>8/20</t>
        </is>
      </c>
      <c r="C548" s="3" t="inlineStr">
        <is>
          <t>四</t>
        </is>
      </c>
      <c r="D548" s="3" t="inlineStr">
        <is>
          <t>08:29 19:59</t>
        </is>
      </c>
      <c r="E548" s="4" t="n">
        <v>0.3534722222222222</v>
      </c>
      <c r="F548" s="4" t="n">
        <v>0.8326388888888889</v>
      </c>
      <c r="G548" s="3">
        <f>IF($E548="","空卡",IF($F548="","单卡","正常"))</f>
        <v/>
      </c>
      <c r="H548" s="5">
        <f>IF($G548="正常",ROUND(($F548-$E548)*1440,0),"")</f>
        <v/>
      </c>
      <c r="I548" s="6">
        <f>IF($G548="正常",$H548/60,"")</f>
        <v/>
      </c>
      <c r="J548" s="7">
        <f>IF($G548="正常",ROUND($H548/30,0)/2,"")</f>
        <v/>
      </c>
      <c r="K548" s="7">
        <f>IF($G548="正常",MIN($J548,12),"")</f>
        <v/>
      </c>
      <c r="L548" s="7">
        <f>IF($G548="正常",MAX($J548-12,0),"")</f>
        <v/>
      </c>
    </row>
    <row r="549">
      <c r="A549" s="3" t="inlineStr">
        <is>
          <t>谢安德</t>
        </is>
      </c>
      <c r="B549" s="3" t="inlineStr">
        <is>
          <t>8/21</t>
        </is>
      </c>
      <c r="C549" s="3" t="inlineStr">
        <is>
          <t>五</t>
        </is>
      </c>
      <c r="D549" s="3" t="inlineStr">
        <is>
          <t>06:52 19:03</t>
        </is>
      </c>
      <c r="E549" s="4" t="n">
        <v>0.2861111111111111</v>
      </c>
      <c r="F549" s="4" t="n">
        <v>0.79375</v>
      </c>
      <c r="G549" s="3">
        <f>IF($E549="","空卡",IF($F549="","单卡","正常"))</f>
        <v/>
      </c>
      <c r="H549" s="5">
        <f>IF($G549="正常",ROUND(($F549-$E549)*1440,0),"")</f>
        <v/>
      </c>
      <c r="I549" s="6">
        <f>IF($G549="正常",$H549/60,"")</f>
        <v/>
      </c>
      <c r="J549" s="7">
        <f>IF($G549="正常",ROUND($H549/30,0)/2,"")</f>
        <v/>
      </c>
      <c r="K549" s="7">
        <f>IF($G549="正常",MIN($J549,12),"")</f>
        <v/>
      </c>
      <c r="L549" s="7">
        <f>IF($G549="正常",MAX($J549-12,0),"")</f>
        <v/>
      </c>
    </row>
    <row r="550">
      <c r="A550" s="3" t="inlineStr">
        <is>
          <t>谢安德</t>
        </is>
      </c>
      <c r="B550" s="3" t="inlineStr">
        <is>
          <t>8/22</t>
        </is>
      </c>
      <c r="C550" s="3" t="inlineStr">
        <is>
          <t>六</t>
        </is>
      </c>
      <c r="D550" s="3" t="inlineStr">
        <is>
          <t>06:51 18:30</t>
        </is>
      </c>
      <c r="E550" s="4" t="n">
        <v>0.2854166666666667</v>
      </c>
      <c r="F550" s="4" t="n">
        <v>0.7708333333333334</v>
      </c>
      <c r="G550" s="3">
        <f>IF($E550="","空卡",IF($F550="","单卡","正常"))</f>
        <v/>
      </c>
      <c r="H550" s="5">
        <f>IF($G550="正常",ROUND(($F550-$E550)*1440,0),"")</f>
        <v/>
      </c>
      <c r="I550" s="6">
        <f>IF($G550="正常",$H550/60,"")</f>
        <v/>
      </c>
      <c r="J550" s="7">
        <f>IF($G550="正常",ROUND($H550/30,0)/2,"")</f>
        <v/>
      </c>
      <c r="K550" s="7">
        <f>IF($G550="正常",MIN($J550,12),"")</f>
        <v/>
      </c>
      <c r="L550" s="7">
        <f>IF($G550="正常",MAX($J550-12,0),"")</f>
        <v/>
      </c>
    </row>
    <row r="551">
      <c r="A551" s="3" t="inlineStr">
        <is>
          <t>谢安德</t>
        </is>
      </c>
      <c r="B551" s="3" t="inlineStr">
        <is>
          <t>8/23</t>
        </is>
      </c>
      <c r="C551" s="3" t="inlineStr">
        <is>
          <t>日</t>
        </is>
      </c>
      <c r="D551" s="3" t="inlineStr">
        <is>
          <t>07:02 18:20</t>
        </is>
      </c>
      <c r="E551" s="4" t="n">
        <v>0.2930555555555556</v>
      </c>
      <c r="F551" s="4" t="n">
        <v>0.7638888888888888</v>
      </c>
      <c r="G551" s="3">
        <f>IF($E551="","空卡",IF($F551="","单卡","正常"))</f>
        <v/>
      </c>
      <c r="H551" s="5">
        <f>IF($G551="正常",ROUND(($F551-$E551)*1440,0),"")</f>
        <v/>
      </c>
      <c r="I551" s="6">
        <f>IF($G551="正常",$H551/60,"")</f>
        <v/>
      </c>
      <c r="J551" s="7">
        <f>IF($G551="正常",ROUND($H551/30,0)/2,"")</f>
        <v/>
      </c>
      <c r="K551" s="7">
        <f>IF($G551="正常",MIN($J551,12),"")</f>
        <v/>
      </c>
      <c r="L551" s="7">
        <f>IF($G551="正常",MAX($J551-12,0),"")</f>
        <v/>
      </c>
    </row>
    <row r="552">
      <c r="A552" s="3" t="inlineStr">
        <is>
          <t>谢安德</t>
        </is>
      </c>
      <c r="B552" s="3" t="inlineStr">
        <is>
          <t>8/24</t>
        </is>
      </c>
      <c r="C552" s="3" t="inlineStr">
        <is>
          <t>一</t>
        </is>
      </c>
      <c r="D552" s="3" t="inlineStr">
        <is>
          <t>06:51 17:04</t>
        </is>
      </c>
      <c r="E552" s="4" t="n">
        <v>0.2854166666666667</v>
      </c>
      <c r="F552" s="4" t="n">
        <v>0.7111111111111111</v>
      </c>
      <c r="G552" s="3">
        <f>IF($E552="","空卡",IF($F552="","单卡","正常"))</f>
        <v/>
      </c>
      <c r="H552" s="5">
        <f>IF($G552="正常",ROUND(($F552-$E552)*1440,0),"")</f>
        <v/>
      </c>
      <c r="I552" s="6">
        <f>IF($G552="正常",$H552/60,"")</f>
        <v/>
      </c>
      <c r="J552" s="7">
        <f>IF($G552="正常",ROUND($H552/30,0)/2,"")</f>
        <v/>
      </c>
      <c r="K552" s="7">
        <f>IF($G552="正常",MIN($J552,12),"")</f>
        <v/>
      </c>
      <c r="L552" s="7">
        <f>IF($G552="正常",MAX($J552-12,0),"")</f>
        <v/>
      </c>
    </row>
    <row r="553">
      <c r="A553" s="3" t="inlineStr">
        <is>
          <t>谢安德</t>
        </is>
      </c>
      <c r="B553" s="3" t="inlineStr">
        <is>
          <t>8/25</t>
        </is>
      </c>
      <c r="C553" s="3" t="inlineStr">
        <is>
          <t>二</t>
        </is>
      </c>
      <c r="D553" s="3" t="inlineStr">
        <is>
          <t>07:29 19:36</t>
        </is>
      </c>
      <c r="E553" s="4" t="n">
        <v>0.3118055555555556</v>
      </c>
      <c r="F553" s="4" t="n">
        <v>0.8166666666666667</v>
      </c>
      <c r="G553" s="3">
        <f>IF($E553="","空卡",IF($F553="","单卡","正常"))</f>
        <v/>
      </c>
      <c r="H553" s="5">
        <f>IF($G553="正常",ROUND(($F553-$E553)*1440,0),"")</f>
        <v/>
      </c>
      <c r="I553" s="6">
        <f>IF($G553="正常",$H553/60,"")</f>
        <v/>
      </c>
      <c r="J553" s="7">
        <f>IF($G553="正常",ROUND($H553/30,0)/2,"")</f>
        <v/>
      </c>
      <c r="K553" s="7">
        <f>IF($G553="正常",MIN($J553,12),"")</f>
        <v/>
      </c>
      <c r="L553" s="7">
        <f>IF($G553="正常",MAX($J553-12,0),"")</f>
        <v/>
      </c>
    </row>
    <row r="554">
      <c r="A554" s="3" t="inlineStr">
        <is>
          <t>谢安德</t>
        </is>
      </c>
      <c r="B554" s="3" t="inlineStr">
        <is>
          <t>8/26</t>
        </is>
      </c>
      <c r="C554" s="3" t="inlineStr">
        <is>
          <t>三</t>
        </is>
      </c>
      <c r="D554" s="3" t="inlineStr">
        <is>
          <t>07:48 18:58</t>
        </is>
      </c>
      <c r="E554" s="4" t="n">
        <v>0.325</v>
      </c>
      <c r="F554" s="4" t="n">
        <v>0.7902777777777777</v>
      </c>
      <c r="G554" s="3">
        <f>IF($E554="","空卡",IF($F554="","单卡","正常"))</f>
        <v/>
      </c>
      <c r="H554" s="5">
        <f>IF($G554="正常",ROUND(($F554-$E554)*1440,0),"")</f>
        <v/>
      </c>
      <c r="I554" s="6">
        <f>IF($G554="正常",$H554/60,"")</f>
        <v/>
      </c>
      <c r="J554" s="7">
        <f>IF($G554="正常",ROUND($H554/30,0)/2,"")</f>
        <v/>
      </c>
      <c r="K554" s="7">
        <f>IF($G554="正常",MIN($J554,12),"")</f>
        <v/>
      </c>
      <c r="L554" s="7">
        <f>IF($G554="正常",MAX($J554-12,0),"")</f>
        <v/>
      </c>
    </row>
    <row r="555">
      <c r="A555" s="3" t="inlineStr">
        <is>
          <t>谢安德</t>
        </is>
      </c>
      <c r="B555" s="3" t="inlineStr">
        <is>
          <t>8/27</t>
        </is>
      </c>
      <c r="C555" s="3" t="inlineStr">
        <is>
          <t>四</t>
        </is>
      </c>
      <c r="D555" s="3" t="inlineStr">
        <is>
          <t>07:47 18:55</t>
        </is>
      </c>
      <c r="E555" s="4" t="n">
        <v>0.3243055555555556</v>
      </c>
      <c r="F555" s="4" t="n">
        <v>0.7881944444444444</v>
      </c>
      <c r="G555" s="3">
        <f>IF($E555="","空卡",IF($F555="","单卡","正常"))</f>
        <v/>
      </c>
      <c r="H555" s="5">
        <f>IF($G555="正常",ROUND(($F555-$E555)*1440,0),"")</f>
        <v/>
      </c>
      <c r="I555" s="6">
        <f>IF($G555="正常",$H555/60,"")</f>
        <v/>
      </c>
      <c r="J555" s="7">
        <f>IF($G555="正常",ROUND($H555/30,0)/2,"")</f>
        <v/>
      </c>
      <c r="K555" s="7">
        <f>IF($G555="正常",MIN($J555,12),"")</f>
        <v/>
      </c>
      <c r="L555" s="7">
        <f>IF($G555="正常",MAX($J555-12,0),"")</f>
        <v/>
      </c>
    </row>
    <row r="556">
      <c r="A556" s="3" t="inlineStr">
        <is>
          <t>谢安德</t>
        </is>
      </c>
      <c r="B556" s="3" t="inlineStr">
        <is>
          <t>8/28</t>
        </is>
      </c>
      <c r="C556" s="3" t="inlineStr">
        <is>
          <t>五</t>
        </is>
      </c>
      <c r="D556" s="3" t="inlineStr">
        <is>
          <t>07:50 19:36</t>
        </is>
      </c>
      <c r="E556" s="4" t="n">
        <v>0.3263888888888889</v>
      </c>
      <c r="F556" s="4" t="n">
        <v>0.8166666666666667</v>
      </c>
      <c r="G556" s="3">
        <f>IF($E556="","空卡",IF($F556="","单卡","正常"))</f>
        <v/>
      </c>
      <c r="H556" s="5">
        <f>IF($G556="正常",ROUND(($F556-$E556)*1440,0),"")</f>
        <v/>
      </c>
      <c r="I556" s="6">
        <f>IF($G556="正常",$H556/60,"")</f>
        <v/>
      </c>
      <c r="J556" s="7">
        <f>IF($G556="正常",ROUND($H556/30,0)/2,"")</f>
        <v/>
      </c>
      <c r="K556" s="7">
        <f>IF($G556="正常",MIN($J556,12),"")</f>
        <v/>
      </c>
      <c r="L556" s="7">
        <f>IF($G556="正常",MAX($J556-12,0),"")</f>
        <v/>
      </c>
    </row>
    <row r="557">
      <c r="A557" s="3" t="inlineStr">
        <is>
          <t>谢安德</t>
        </is>
      </c>
      <c r="B557" s="3" t="inlineStr">
        <is>
          <t>8/29</t>
        </is>
      </c>
      <c r="C557" s="3" t="inlineStr">
        <is>
          <t>六</t>
        </is>
      </c>
      <c r="D557" s="3" t="inlineStr">
        <is>
          <t>07:50 22:55</t>
        </is>
      </c>
      <c r="E557" s="4" t="n">
        <v>0.3263888888888889</v>
      </c>
      <c r="F557" s="4" t="n">
        <v>0.9548611111111112</v>
      </c>
      <c r="G557" s="3">
        <f>IF($E557="","空卡",IF($F557="","单卡","正常"))</f>
        <v/>
      </c>
      <c r="H557" s="5">
        <f>IF($G557="正常",ROUND(($F557-$E557)*1440,0),"")</f>
        <v/>
      </c>
      <c r="I557" s="6">
        <f>IF($G557="正常",$H557/60,"")</f>
        <v/>
      </c>
      <c r="J557" s="7">
        <f>IF($G557="正常",ROUND($H557/30,0)/2,"")</f>
        <v/>
      </c>
      <c r="K557" s="7">
        <f>IF($G557="正常",MIN($J557,12),"")</f>
        <v/>
      </c>
      <c r="L557" s="7">
        <f>IF($G557="正常",MAX($J557-12,0),"")</f>
        <v/>
      </c>
    </row>
    <row r="558">
      <c r="A558" s="3" t="inlineStr">
        <is>
          <t>谢安德</t>
        </is>
      </c>
      <c r="B558" s="3" t="inlineStr">
        <is>
          <t>8/30</t>
        </is>
      </c>
      <c r="C558" s="3" t="inlineStr">
        <is>
          <t>日</t>
        </is>
      </c>
      <c r="D558" s="3" t="inlineStr">
        <is>
          <t>07:50 19:26</t>
        </is>
      </c>
      <c r="E558" s="4" t="n">
        <v>0.3263888888888889</v>
      </c>
      <c r="F558" s="4" t="n">
        <v>0.8097222222222222</v>
      </c>
      <c r="G558" s="3">
        <f>IF($E558="","空卡",IF($F558="","单卡","正常"))</f>
        <v/>
      </c>
      <c r="H558" s="5">
        <f>IF($G558="正常",ROUND(($F558-$E558)*1440,0),"")</f>
        <v/>
      </c>
      <c r="I558" s="6">
        <f>IF($G558="正常",$H558/60,"")</f>
        <v/>
      </c>
      <c r="J558" s="7">
        <f>IF($G558="正常",ROUND($H558/30,0)/2,"")</f>
        <v/>
      </c>
      <c r="K558" s="7">
        <f>IF($G558="正常",MIN($J558,12),"")</f>
        <v/>
      </c>
      <c r="L558" s="7">
        <f>IF($G558="正常",MAX($J558-12,0),"")</f>
        <v/>
      </c>
    </row>
    <row r="559">
      <c r="A559" s="8" t="inlineStr">
        <is>
          <t>谢安德</t>
        </is>
      </c>
      <c r="B559" s="8" t="inlineStr">
        <is>
          <t>8/31</t>
        </is>
      </c>
      <c r="C559" s="8" t="inlineStr">
        <is>
          <t>一</t>
        </is>
      </c>
      <c r="D559" s="8" t="inlineStr"/>
      <c r="E559" s="9" t="n"/>
      <c r="F559" s="9" t="n"/>
      <c r="G559" s="10">
        <f>IF($E559="","空卡",IF($F559="","单卡","正常"))</f>
        <v/>
      </c>
      <c r="H559" s="11">
        <f>IF($G559="正常",ROUND(($F559-$E559)*1440,0),"")</f>
        <v/>
      </c>
      <c r="I559" s="12">
        <f>IF($G559="正常",$H559/60,"")</f>
        <v/>
      </c>
      <c r="J559" s="13">
        <f>IF($G559="正常",ROUND($H559/30,0)/2,"")</f>
        <v/>
      </c>
      <c r="K559" s="13">
        <f>IF($G559="正常",MIN($J559,12),"")</f>
        <v/>
      </c>
      <c r="L559" s="13">
        <f>IF($G559="正常",MAX($J559-12,0),"")</f>
        <v/>
      </c>
    </row>
    <row r="560">
      <c r="A560" s="8" t="inlineStr">
        <is>
          <t>周学莲</t>
        </is>
      </c>
      <c r="B560" s="8" t="inlineStr">
        <is>
          <t>8/1</t>
        </is>
      </c>
      <c r="C560" s="8" t="inlineStr">
        <is>
          <t>六</t>
        </is>
      </c>
      <c r="D560" s="8" t="inlineStr"/>
      <c r="E560" s="9" t="n"/>
      <c r="F560" s="9" t="n"/>
      <c r="G560" s="10">
        <f>IF($E560="","空卡",IF($F560="","单卡","正常"))</f>
        <v/>
      </c>
      <c r="H560" s="11">
        <f>IF($G560="正常",ROUND(($F560-$E560)*1440,0),"")</f>
        <v/>
      </c>
      <c r="I560" s="12">
        <f>IF($G560="正常",$H560/60,"")</f>
        <v/>
      </c>
      <c r="J560" s="13">
        <f>IF($G560="正常",ROUND($H560/30,0)/2,"")</f>
        <v/>
      </c>
      <c r="K560" s="13">
        <f>IF($G560="正常",MIN($J560,12),"")</f>
        <v/>
      </c>
      <c r="L560" s="13">
        <f>IF($G560="正常",MAX($J560-12,0),"")</f>
        <v/>
      </c>
    </row>
    <row r="561">
      <c r="A561" s="8" t="inlineStr">
        <is>
          <t>周学莲</t>
        </is>
      </c>
      <c r="B561" s="8" t="inlineStr">
        <is>
          <t>8/2</t>
        </is>
      </c>
      <c r="C561" s="8" t="inlineStr">
        <is>
          <t>日</t>
        </is>
      </c>
      <c r="D561" s="8" t="inlineStr"/>
      <c r="E561" s="9" t="n"/>
      <c r="F561" s="9" t="n"/>
      <c r="G561" s="10">
        <f>IF($E561="","空卡",IF($F561="","单卡","正常"))</f>
        <v/>
      </c>
      <c r="H561" s="11">
        <f>IF($G561="正常",ROUND(($F561-$E561)*1440,0),"")</f>
        <v/>
      </c>
      <c r="I561" s="12">
        <f>IF($G561="正常",$H561/60,"")</f>
        <v/>
      </c>
      <c r="J561" s="13">
        <f>IF($G561="正常",ROUND($H561/30,0)/2,"")</f>
        <v/>
      </c>
      <c r="K561" s="13">
        <f>IF($G561="正常",MIN($J561,12),"")</f>
        <v/>
      </c>
      <c r="L561" s="13">
        <f>IF($G561="正常",MAX($J561-12,0),"")</f>
        <v/>
      </c>
    </row>
    <row r="562">
      <c r="A562" s="8" t="inlineStr">
        <is>
          <t>周学莲</t>
        </is>
      </c>
      <c r="B562" s="8" t="inlineStr">
        <is>
          <t>8/3</t>
        </is>
      </c>
      <c r="C562" s="8" t="inlineStr">
        <is>
          <t>一</t>
        </is>
      </c>
      <c r="D562" s="8" t="inlineStr"/>
      <c r="E562" s="9" t="n"/>
      <c r="F562" s="9" t="n"/>
      <c r="G562" s="10">
        <f>IF($E562="","空卡",IF($F562="","单卡","正常"))</f>
        <v/>
      </c>
      <c r="H562" s="11">
        <f>IF($G562="正常",ROUND(($F562-$E562)*1440,0),"")</f>
        <v/>
      </c>
      <c r="I562" s="12">
        <f>IF($G562="正常",$H562/60,"")</f>
        <v/>
      </c>
      <c r="J562" s="13">
        <f>IF($G562="正常",ROUND($H562/30,0)/2,"")</f>
        <v/>
      </c>
      <c r="K562" s="13">
        <f>IF($G562="正常",MIN($J562,12),"")</f>
        <v/>
      </c>
      <c r="L562" s="13">
        <f>IF($G562="正常",MAX($J562-12,0),"")</f>
        <v/>
      </c>
    </row>
    <row r="563">
      <c r="A563" s="8" t="inlineStr">
        <is>
          <t>周学莲</t>
        </is>
      </c>
      <c r="B563" s="8" t="inlineStr">
        <is>
          <t>8/4</t>
        </is>
      </c>
      <c r="C563" s="8" t="inlineStr">
        <is>
          <t>二</t>
        </is>
      </c>
      <c r="D563" s="8" t="inlineStr"/>
      <c r="E563" s="9" t="n"/>
      <c r="F563" s="9" t="n"/>
      <c r="G563" s="10">
        <f>IF($E563="","空卡",IF($F563="","单卡","正常"))</f>
        <v/>
      </c>
      <c r="H563" s="11">
        <f>IF($G563="正常",ROUND(($F563-$E563)*1440,0),"")</f>
        <v/>
      </c>
      <c r="I563" s="12">
        <f>IF($G563="正常",$H563/60,"")</f>
        <v/>
      </c>
      <c r="J563" s="13">
        <f>IF($G563="正常",ROUND($H563/30,0)/2,"")</f>
        <v/>
      </c>
      <c r="K563" s="13">
        <f>IF($G563="正常",MIN($J563,12),"")</f>
        <v/>
      </c>
      <c r="L563" s="13">
        <f>IF($G563="正常",MAX($J563-12,0),"")</f>
        <v/>
      </c>
    </row>
    <row r="564">
      <c r="A564" s="8" t="inlineStr">
        <is>
          <t>周学莲</t>
        </is>
      </c>
      <c r="B564" s="8" t="inlineStr">
        <is>
          <t>8/5</t>
        </is>
      </c>
      <c r="C564" s="8" t="inlineStr">
        <is>
          <t>三</t>
        </is>
      </c>
      <c r="D564" s="8" t="inlineStr"/>
      <c r="E564" s="9" t="n"/>
      <c r="F564" s="9" t="n"/>
      <c r="G564" s="10">
        <f>IF($E564="","空卡",IF($F564="","单卡","正常"))</f>
        <v/>
      </c>
      <c r="H564" s="11">
        <f>IF($G564="正常",ROUND(($F564-$E564)*1440,0),"")</f>
        <v/>
      </c>
      <c r="I564" s="12">
        <f>IF($G564="正常",$H564/60,"")</f>
        <v/>
      </c>
      <c r="J564" s="13">
        <f>IF($G564="正常",ROUND($H564/30,0)/2,"")</f>
        <v/>
      </c>
      <c r="K564" s="13">
        <f>IF($G564="正常",MIN($J564,12),"")</f>
        <v/>
      </c>
      <c r="L564" s="13">
        <f>IF($G564="正常",MAX($J564-12,0),"")</f>
        <v/>
      </c>
    </row>
    <row r="565">
      <c r="A565" s="8" t="inlineStr">
        <is>
          <t>周学莲</t>
        </is>
      </c>
      <c r="B565" s="8" t="inlineStr">
        <is>
          <t>8/6</t>
        </is>
      </c>
      <c r="C565" s="8" t="inlineStr">
        <is>
          <t>四</t>
        </is>
      </c>
      <c r="D565" s="8" t="inlineStr"/>
      <c r="E565" s="9" t="n"/>
      <c r="F565" s="9" t="n"/>
      <c r="G565" s="10">
        <f>IF($E565="","空卡",IF($F565="","单卡","正常"))</f>
        <v/>
      </c>
      <c r="H565" s="11">
        <f>IF($G565="正常",ROUND(($F565-$E565)*1440,0),"")</f>
        <v/>
      </c>
      <c r="I565" s="12">
        <f>IF($G565="正常",$H565/60,"")</f>
        <v/>
      </c>
      <c r="J565" s="13">
        <f>IF($G565="正常",ROUND($H565/30,0)/2,"")</f>
        <v/>
      </c>
      <c r="K565" s="13">
        <f>IF($G565="正常",MIN($J565,12),"")</f>
        <v/>
      </c>
      <c r="L565" s="13">
        <f>IF($G565="正常",MAX($J565-12,0),"")</f>
        <v/>
      </c>
    </row>
    <row r="566">
      <c r="A566" s="3" t="inlineStr">
        <is>
          <t>周学莲</t>
        </is>
      </c>
      <c r="B566" s="3" t="inlineStr">
        <is>
          <t>8/7</t>
        </is>
      </c>
      <c r="C566" s="3" t="inlineStr">
        <is>
          <t>五</t>
        </is>
      </c>
      <c r="D566" s="3" t="inlineStr">
        <is>
          <t>07:52 19:29</t>
        </is>
      </c>
      <c r="E566" s="4" t="n">
        <v>0.3277777777777778</v>
      </c>
      <c r="F566" s="4" t="n">
        <v>0.8118055555555556</v>
      </c>
      <c r="G566" s="3">
        <f>IF($E566="","空卡",IF($F566="","单卡","正常"))</f>
        <v/>
      </c>
      <c r="H566" s="5">
        <f>IF($G566="正常",ROUND(($F566-$E566)*1440,0),"")</f>
        <v/>
      </c>
      <c r="I566" s="6">
        <f>IF($G566="正常",$H566/60,"")</f>
        <v/>
      </c>
      <c r="J566" s="7">
        <f>IF($G566="正常",ROUND($H566/30,0)/2,"")</f>
        <v/>
      </c>
      <c r="K566" s="7">
        <f>IF($G566="正常",MIN($J566,12),"")</f>
        <v/>
      </c>
      <c r="L566" s="7">
        <f>IF($G566="正常",MAX($J566-12,0),"")</f>
        <v/>
      </c>
    </row>
    <row r="567">
      <c r="A567" s="3" t="inlineStr">
        <is>
          <t>周学莲</t>
        </is>
      </c>
      <c r="B567" s="3" t="inlineStr">
        <is>
          <t>8/8</t>
        </is>
      </c>
      <c r="C567" s="3" t="inlineStr">
        <is>
          <t>六</t>
        </is>
      </c>
      <c r="D567" s="3" t="inlineStr">
        <is>
          <t>07:53 19:01</t>
        </is>
      </c>
      <c r="E567" s="4" t="n">
        <v>0.3284722222222222</v>
      </c>
      <c r="F567" s="4" t="n">
        <v>0.7923611111111111</v>
      </c>
      <c r="G567" s="3">
        <f>IF($E567="","空卡",IF($F567="","单卡","正常"))</f>
        <v/>
      </c>
      <c r="H567" s="5">
        <f>IF($G567="正常",ROUND(($F567-$E567)*1440,0),"")</f>
        <v/>
      </c>
      <c r="I567" s="6">
        <f>IF($G567="正常",$H567/60,"")</f>
        <v/>
      </c>
      <c r="J567" s="7">
        <f>IF($G567="正常",ROUND($H567/30,0)/2,"")</f>
        <v/>
      </c>
      <c r="K567" s="7">
        <f>IF($G567="正常",MIN($J567,12),"")</f>
        <v/>
      </c>
      <c r="L567" s="7">
        <f>IF($G567="正常",MAX($J567-12,0),"")</f>
        <v/>
      </c>
    </row>
    <row r="568">
      <c r="A568" s="8" t="inlineStr">
        <is>
          <t>周学莲</t>
        </is>
      </c>
      <c r="B568" s="8" t="inlineStr">
        <is>
          <t>8/9</t>
        </is>
      </c>
      <c r="C568" s="8" t="inlineStr">
        <is>
          <t>日</t>
        </is>
      </c>
      <c r="D568" s="8" t="inlineStr"/>
      <c r="E568" s="9" t="n"/>
      <c r="F568" s="9" t="n"/>
      <c r="G568" s="10">
        <f>IF($E568="","空卡",IF($F568="","单卡","正常"))</f>
        <v/>
      </c>
      <c r="H568" s="11">
        <f>IF($G568="正常",ROUND(($F568-$E568)*1440,0),"")</f>
        <v/>
      </c>
      <c r="I568" s="12">
        <f>IF($G568="正常",$H568/60,"")</f>
        <v/>
      </c>
      <c r="J568" s="13">
        <f>IF($G568="正常",ROUND($H568/30,0)/2,"")</f>
        <v/>
      </c>
      <c r="K568" s="13">
        <f>IF($G568="正常",MIN($J568,12),"")</f>
        <v/>
      </c>
      <c r="L568" s="13">
        <f>IF($G568="正常",MAX($J568-12,0),"")</f>
        <v/>
      </c>
    </row>
    <row r="569">
      <c r="A569" s="8" t="inlineStr">
        <is>
          <t>周学莲</t>
        </is>
      </c>
      <c r="B569" s="8" t="inlineStr">
        <is>
          <t>8/10</t>
        </is>
      </c>
      <c r="C569" s="8" t="inlineStr">
        <is>
          <t>一</t>
        </is>
      </c>
      <c r="D569" s="8" t="inlineStr"/>
      <c r="E569" s="9" t="n"/>
      <c r="F569" s="9" t="n"/>
      <c r="G569" s="10">
        <f>IF($E569="","空卡",IF($F569="","单卡","正常"))</f>
        <v/>
      </c>
      <c r="H569" s="11">
        <f>IF($G569="正常",ROUND(($F569-$E569)*1440,0),"")</f>
        <v/>
      </c>
      <c r="I569" s="12">
        <f>IF($G569="正常",$H569/60,"")</f>
        <v/>
      </c>
      <c r="J569" s="13">
        <f>IF($G569="正常",ROUND($H569/30,0)/2,"")</f>
        <v/>
      </c>
      <c r="K569" s="13">
        <f>IF($G569="正常",MIN($J569,12),"")</f>
        <v/>
      </c>
      <c r="L569" s="13">
        <f>IF($G569="正常",MAX($J569-12,0),"")</f>
        <v/>
      </c>
    </row>
    <row r="570">
      <c r="A570" s="8" t="inlineStr">
        <is>
          <t>周学莲</t>
        </is>
      </c>
      <c r="B570" s="8" t="inlineStr">
        <is>
          <t>8/11</t>
        </is>
      </c>
      <c r="C570" s="8" t="inlineStr">
        <is>
          <t>二</t>
        </is>
      </c>
      <c r="D570" s="8" t="inlineStr"/>
      <c r="E570" s="9" t="n"/>
      <c r="F570" s="9" t="n"/>
      <c r="G570" s="10">
        <f>IF($E570="","空卡",IF($F570="","单卡","正常"))</f>
        <v/>
      </c>
      <c r="H570" s="11">
        <f>IF($G570="正常",ROUND(($F570-$E570)*1440,0),"")</f>
        <v/>
      </c>
      <c r="I570" s="12">
        <f>IF($G570="正常",$H570/60,"")</f>
        <v/>
      </c>
      <c r="J570" s="13">
        <f>IF($G570="正常",ROUND($H570/30,0)/2,"")</f>
        <v/>
      </c>
      <c r="K570" s="13">
        <f>IF($G570="正常",MIN($J570,12),"")</f>
        <v/>
      </c>
      <c r="L570" s="13">
        <f>IF($G570="正常",MAX($J570-12,0),"")</f>
        <v/>
      </c>
    </row>
    <row r="571">
      <c r="A571" s="3" t="inlineStr">
        <is>
          <t>周学莲</t>
        </is>
      </c>
      <c r="B571" s="3" t="inlineStr">
        <is>
          <t>8/12</t>
        </is>
      </c>
      <c r="C571" s="3" t="inlineStr">
        <is>
          <t>三</t>
        </is>
      </c>
      <c r="D571" s="3" t="inlineStr">
        <is>
          <t>09:47 18:34</t>
        </is>
      </c>
      <c r="E571" s="4" t="n">
        <v>0.4076388888888889</v>
      </c>
      <c r="F571" s="4" t="n">
        <v>0.7736111111111111</v>
      </c>
      <c r="G571" s="3">
        <f>IF($E571="","空卡",IF($F571="","单卡","正常"))</f>
        <v/>
      </c>
      <c r="H571" s="5">
        <f>IF($G571="正常",ROUND(($F571-$E571)*1440,0),"")</f>
        <v/>
      </c>
      <c r="I571" s="6">
        <f>IF($G571="正常",$H571/60,"")</f>
        <v/>
      </c>
      <c r="J571" s="7">
        <f>IF($G571="正常",ROUND($H571/30,0)/2,"")</f>
        <v/>
      </c>
      <c r="K571" s="7">
        <f>IF($G571="正常",MIN($J571,12),"")</f>
        <v/>
      </c>
      <c r="L571" s="7">
        <f>IF($G571="正常",MAX($J571-12,0),"")</f>
        <v/>
      </c>
    </row>
    <row r="572">
      <c r="A572" s="3" t="inlineStr">
        <is>
          <t>周学莲</t>
        </is>
      </c>
      <c r="B572" s="3" t="inlineStr">
        <is>
          <t>8/13</t>
        </is>
      </c>
      <c r="C572" s="3" t="inlineStr">
        <is>
          <t>四</t>
        </is>
      </c>
      <c r="D572" s="3" t="inlineStr">
        <is>
          <t>08:32 19:00</t>
        </is>
      </c>
      <c r="E572" s="4" t="n">
        <v>0.3555555555555556</v>
      </c>
      <c r="F572" s="4" t="n">
        <v>0.7916666666666666</v>
      </c>
      <c r="G572" s="3">
        <f>IF($E572="","空卡",IF($F572="","单卡","正常"))</f>
        <v/>
      </c>
      <c r="H572" s="5">
        <f>IF($G572="正常",ROUND(($F572-$E572)*1440,0),"")</f>
        <v/>
      </c>
      <c r="I572" s="6">
        <f>IF($G572="正常",$H572/60,"")</f>
        <v/>
      </c>
      <c r="J572" s="7">
        <f>IF($G572="正常",ROUND($H572/30,0)/2,"")</f>
        <v/>
      </c>
      <c r="K572" s="7">
        <f>IF($G572="正常",MIN($J572,12),"")</f>
        <v/>
      </c>
      <c r="L572" s="7">
        <f>IF($G572="正常",MAX($J572-12,0),"")</f>
        <v/>
      </c>
    </row>
    <row r="573">
      <c r="A573" s="3" t="inlineStr">
        <is>
          <t>周学莲</t>
        </is>
      </c>
      <c r="B573" s="3" t="inlineStr">
        <is>
          <t>8/14</t>
        </is>
      </c>
      <c r="C573" s="3" t="inlineStr">
        <is>
          <t>五</t>
        </is>
      </c>
      <c r="D573" s="3" t="inlineStr">
        <is>
          <t>08:21 19:30</t>
        </is>
      </c>
      <c r="E573" s="4" t="n">
        <v>0.3479166666666667</v>
      </c>
      <c r="F573" s="4" t="n">
        <v>0.8125</v>
      </c>
      <c r="G573" s="3">
        <f>IF($E573="","空卡",IF($F573="","单卡","正常"))</f>
        <v/>
      </c>
      <c r="H573" s="5">
        <f>IF($G573="正常",ROUND(($F573-$E573)*1440,0),"")</f>
        <v/>
      </c>
      <c r="I573" s="6">
        <f>IF($G573="正常",$H573/60,"")</f>
        <v/>
      </c>
      <c r="J573" s="7">
        <f>IF($G573="正常",ROUND($H573/30,0)/2,"")</f>
        <v/>
      </c>
      <c r="K573" s="7">
        <f>IF($G573="正常",MIN($J573,12),"")</f>
        <v/>
      </c>
      <c r="L573" s="7">
        <f>IF($G573="正常",MAX($J573-12,0),"")</f>
        <v/>
      </c>
    </row>
    <row r="574">
      <c r="A574" s="3" t="inlineStr">
        <is>
          <t>周学莲</t>
        </is>
      </c>
      <c r="B574" s="3" t="inlineStr">
        <is>
          <t>8/15</t>
        </is>
      </c>
      <c r="C574" s="3" t="inlineStr">
        <is>
          <t>六</t>
        </is>
      </c>
      <c r="D574" s="3" t="inlineStr">
        <is>
          <t>07:53 19:01</t>
        </is>
      </c>
      <c r="E574" s="4" t="n">
        <v>0.3284722222222222</v>
      </c>
      <c r="F574" s="4" t="n">
        <v>0.7923611111111111</v>
      </c>
      <c r="G574" s="3">
        <f>IF($E574="","空卡",IF($F574="","单卡","正常"))</f>
        <v/>
      </c>
      <c r="H574" s="5">
        <f>IF($G574="正常",ROUND(($F574-$E574)*1440,0),"")</f>
        <v/>
      </c>
      <c r="I574" s="6">
        <f>IF($G574="正常",$H574/60,"")</f>
        <v/>
      </c>
      <c r="J574" s="7">
        <f>IF($G574="正常",ROUND($H574/30,0)/2,"")</f>
        <v/>
      </c>
      <c r="K574" s="7">
        <f>IF($G574="正常",MIN($J574,12),"")</f>
        <v/>
      </c>
      <c r="L574" s="7">
        <f>IF($G574="正常",MAX($J574-12,0),"")</f>
        <v/>
      </c>
    </row>
    <row r="575">
      <c r="A575" s="8" t="inlineStr">
        <is>
          <t>周学莲</t>
        </is>
      </c>
      <c r="B575" s="8" t="inlineStr">
        <is>
          <t>8/16</t>
        </is>
      </c>
      <c r="C575" s="8" t="inlineStr">
        <is>
          <t>日</t>
        </is>
      </c>
      <c r="D575" s="8" t="inlineStr"/>
      <c r="E575" s="9" t="n"/>
      <c r="F575" s="9" t="n"/>
      <c r="G575" s="10">
        <f>IF($E575="","空卡",IF($F575="","单卡","正常"))</f>
        <v/>
      </c>
      <c r="H575" s="11">
        <f>IF($G575="正常",ROUND(($F575-$E575)*1440,0),"")</f>
        <v/>
      </c>
      <c r="I575" s="12">
        <f>IF($G575="正常",$H575/60,"")</f>
        <v/>
      </c>
      <c r="J575" s="13">
        <f>IF($G575="正常",ROUND($H575/30,0)/2,"")</f>
        <v/>
      </c>
      <c r="K575" s="13">
        <f>IF($G575="正常",MIN($J575,12),"")</f>
        <v/>
      </c>
      <c r="L575" s="13">
        <f>IF($G575="正常",MAX($J575-12,0),"")</f>
        <v/>
      </c>
    </row>
    <row r="576">
      <c r="A576" s="8" t="inlineStr">
        <is>
          <t>周学莲</t>
        </is>
      </c>
      <c r="B576" s="8" t="inlineStr">
        <is>
          <t>8/17</t>
        </is>
      </c>
      <c r="C576" s="8" t="inlineStr">
        <is>
          <t>一</t>
        </is>
      </c>
      <c r="D576" s="8" t="inlineStr"/>
      <c r="E576" s="9" t="n"/>
      <c r="F576" s="9" t="n"/>
      <c r="G576" s="10">
        <f>IF($E576="","空卡",IF($F576="","单卡","正常"))</f>
        <v/>
      </c>
      <c r="H576" s="11">
        <f>IF($G576="正常",ROUND(($F576-$E576)*1440,0),"")</f>
        <v/>
      </c>
      <c r="I576" s="12">
        <f>IF($G576="正常",$H576/60,"")</f>
        <v/>
      </c>
      <c r="J576" s="13">
        <f>IF($G576="正常",ROUND($H576/30,0)/2,"")</f>
        <v/>
      </c>
      <c r="K576" s="13">
        <f>IF($G576="正常",MIN($J576,12),"")</f>
        <v/>
      </c>
      <c r="L576" s="13">
        <f>IF($G576="正常",MAX($J576-12,0),"")</f>
        <v/>
      </c>
    </row>
    <row r="577">
      <c r="A577" s="3" t="inlineStr">
        <is>
          <t>周学莲</t>
        </is>
      </c>
      <c r="B577" s="3" t="inlineStr">
        <is>
          <t>8/18</t>
        </is>
      </c>
      <c r="C577" s="3" t="inlineStr">
        <is>
          <t>二</t>
        </is>
      </c>
      <c r="D577" s="3" t="inlineStr">
        <is>
          <t>07:55 18:58</t>
        </is>
      </c>
      <c r="E577" s="4" t="n">
        <v>0.3298611111111111</v>
      </c>
      <c r="F577" s="4" t="n">
        <v>0.7902777777777777</v>
      </c>
      <c r="G577" s="3">
        <f>IF($E577="","空卡",IF($F577="","单卡","正常"))</f>
        <v/>
      </c>
      <c r="H577" s="5">
        <f>IF($G577="正常",ROUND(($F577-$E577)*1440,0),"")</f>
        <v/>
      </c>
      <c r="I577" s="6">
        <f>IF($G577="正常",$H577/60,"")</f>
        <v/>
      </c>
      <c r="J577" s="7">
        <f>IF($G577="正常",ROUND($H577/30,0)/2,"")</f>
        <v/>
      </c>
      <c r="K577" s="7">
        <f>IF($G577="正常",MIN($J577,12),"")</f>
        <v/>
      </c>
      <c r="L577" s="7">
        <f>IF($G577="正常",MAX($J577-12,0),"")</f>
        <v/>
      </c>
    </row>
    <row r="578">
      <c r="A578" s="3" t="inlineStr">
        <is>
          <t>周学莲</t>
        </is>
      </c>
      <c r="B578" s="3" t="inlineStr">
        <is>
          <t>8/19</t>
        </is>
      </c>
      <c r="C578" s="3" t="inlineStr">
        <is>
          <t>三</t>
        </is>
      </c>
      <c r="D578" s="3" t="inlineStr">
        <is>
          <t>07:55 19:30</t>
        </is>
      </c>
      <c r="E578" s="4" t="n">
        <v>0.3298611111111111</v>
      </c>
      <c r="F578" s="4" t="n">
        <v>0.8125</v>
      </c>
      <c r="G578" s="3">
        <f>IF($E578="","空卡",IF($F578="","单卡","正常"))</f>
        <v/>
      </c>
      <c r="H578" s="5">
        <f>IF($G578="正常",ROUND(($F578-$E578)*1440,0),"")</f>
        <v/>
      </c>
      <c r="I578" s="6">
        <f>IF($G578="正常",$H578/60,"")</f>
        <v/>
      </c>
      <c r="J578" s="7">
        <f>IF($G578="正常",ROUND($H578/30,0)/2,"")</f>
        <v/>
      </c>
      <c r="K578" s="7">
        <f>IF($G578="正常",MIN($J578,12),"")</f>
        <v/>
      </c>
      <c r="L578" s="7">
        <f>IF($G578="正常",MAX($J578-12,0),"")</f>
        <v/>
      </c>
    </row>
    <row r="579">
      <c r="A579" s="8" t="inlineStr">
        <is>
          <t>周学莲</t>
        </is>
      </c>
      <c r="B579" s="8" t="inlineStr">
        <is>
          <t>8/20</t>
        </is>
      </c>
      <c r="C579" s="8" t="inlineStr">
        <is>
          <t>四</t>
        </is>
      </c>
      <c r="D579" s="8" t="inlineStr">
        <is>
          <t>19:33</t>
        </is>
      </c>
      <c r="E579" s="9" t="n">
        <v>0.8145833333333333</v>
      </c>
      <c r="F579" s="9" t="n"/>
      <c r="G579" s="10">
        <f>IF($E579="","空卡",IF($F579="","单卡","正常"))</f>
        <v/>
      </c>
      <c r="H579" s="11">
        <f>IF($G579="正常",ROUND(($F579-$E579)*1440,0),"")</f>
        <v/>
      </c>
      <c r="I579" s="12">
        <f>IF($G579="正常",$H579/60,"")</f>
        <v/>
      </c>
      <c r="J579" s="13">
        <f>IF($G579="正常",ROUND($H579/30,0)/2,"")</f>
        <v/>
      </c>
      <c r="K579" s="13">
        <f>IF($G579="正常",MIN($J579,12),"")</f>
        <v/>
      </c>
      <c r="L579" s="13">
        <f>IF($G579="正常",MAX($J579-12,0),"")</f>
        <v/>
      </c>
    </row>
    <row r="580">
      <c r="A580" s="3" t="inlineStr">
        <is>
          <t>周学莲</t>
        </is>
      </c>
      <c r="B580" s="3" t="inlineStr">
        <is>
          <t>8/21</t>
        </is>
      </c>
      <c r="C580" s="3" t="inlineStr">
        <is>
          <t>五</t>
        </is>
      </c>
      <c r="D580" s="3" t="inlineStr">
        <is>
          <t>07:54 19:01</t>
        </is>
      </c>
      <c r="E580" s="4" t="n">
        <v>0.3291666666666667</v>
      </c>
      <c r="F580" s="4" t="n">
        <v>0.7923611111111111</v>
      </c>
      <c r="G580" s="3">
        <f>IF($E580="","空卡",IF($F580="","单卡","正常"))</f>
        <v/>
      </c>
      <c r="H580" s="5">
        <f>IF($G580="正常",ROUND(($F580-$E580)*1440,0),"")</f>
        <v/>
      </c>
      <c r="I580" s="6">
        <f>IF($G580="正常",$H580/60,"")</f>
        <v/>
      </c>
      <c r="J580" s="7">
        <f>IF($G580="正常",ROUND($H580/30,0)/2,"")</f>
        <v/>
      </c>
      <c r="K580" s="7">
        <f>IF($G580="正常",MIN($J580,12),"")</f>
        <v/>
      </c>
      <c r="L580" s="7">
        <f>IF($G580="正常",MAX($J580-12,0),"")</f>
        <v/>
      </c>
    </row>
    <row r="581">
      <c r="A581" s="3" t="inlineStr">
        <is>
          <t>周学莲</t>
        </is>
      </c>
      <c r="B581" s="3" t="inlineStr">
        <is>
          <t>8/22</t>
        </is>
      </c>
      <c r="C581" s="3" t="inlineStr">
        <is>
          <t>六</t>
        </is>
      </c>
      <c r="D581" s="3" t="inlineStr">
        <is>
          <t>07:49 18:30</t>
        </is>
      </c>
      <c r="E581" s="4" t="n">
        <v>0.3256944444444445</v>
      </c>
      <c r="F581" s="4" t="n">
        <v>0.7708333333333334</v>
      </c>
      <c r="G581" s="3">
        <f>IF($E581="","空卡",IF($F581="","单卡","正常"))</f>
        <v/>
      </c>
      <c r="H581" s="5">
        <f>IF($G581="正常",ROUND(($F581-$E581)*1440,0),"")</f>
        <v/>
      </c>
      <c r="I581" s="6">
        <f>IF($G581="正常",$H581/60,"")</f>
        <v/>
      </c>
      <c r="J581" s="7">
        <f>IF($G581="正常",ROUND($H581/30,0)/2,"")</f>
        <v/>
      </c>
      <c r="K581" s="7">
        <f>IF($G581="正常",MIN($J581,12),"")</f>
        <v/>
      </c>
      <c r="L581" s="7">
        <f>IF($G581="正常",MAX($J581-12,0),"")</f>
        <v/>
      </c>
    </row>
    <row r="582">
      <c r="A582" s="8" t="inlineStr">
        <is>
          <t>周学莲</t>
        </is>
      </c>
      <c r="B582" s="8" t="inlineStr">
        <is>
          <t>8/23</t>
        </is>
      </c>
      <c r="C582" s="8" t="inlineStr">
        <is>
          <t>日</t>
        </is>
      </c>
      <c r="D582" s="8" t="inlineStr"/>
      <c r="E582" s="9" t="n"/>
      <c r="F582" s="9" t="n"/>
      <c r="G582" s="10">
        <f>IF($E582="","空卡",IF($F582="","单卡","正常"))</f>
        <v/>
      </c>
      <c r="H582" s="11">
        <f>IF($G582="正常",ROUND(($F582-$E582)*1440,0),"")</f>
        <v/>
      </c>
      <c r="I582" s="12">
        <f>IF($G582="正常",$H582/60,"")</f>
        <v/>
      </c>
      <c r="J582" s="13">
        <f>IF($G582="正常",ROUND($H582/30,0)/2,"")</f>
        <v/>
      </c>
      <c r="K582" s="13">
        <f>IF($G582="正常",MIN($J582,12),"")</f>
        <v/>
      </c>
      <c r="L582" s="13">
        <f>IF($G582="正常",MAX($J582-12,0),"")</f>
        <v/>
      </c>
    </row>
    <row r="583">
      <c r="A583" s="3" t="inlineStr">
        <is>
          <t>周学莲</t>
        </is>
      </c>
      <c r="B583" s="3" t="inlineStr">
        <is>
          <t>8/24</t>
        </is>
      </c>
      <c r="C583" s="3" t="inlineStr">
        <is>
          <t>一</t>
        </is>
      </c>
      <c r="D583" s="3" t="inlineStr">
        <is>
          <t>07:51 16:37</t>
        </is>
      </c>
      <c r="E583" s="4" t="n">
        <v>0.3270833333333333</v>
      </c>
      <c r="F583" s="4" t="n">
        <v>0.6923611111111111</v>
      </c>
      <c r="G583" s="3">
        <f>IF($E583="","空卡",IF($F583="","单卡","正常"))</f>
        <v/>
      </c>
      <c r="H583" s="5">
        <f>IF($G583="正常",ROUND(($F583-$E583)*1440,0),"")</f>
        <v/>
      </c>
      <c r="I583" s="6">
        <f>IF($G583="正常",$H583/60,"")</f>
        <v/>
      </c>
      <c r="J583" s="7">
        <f>IF($G583="正常",ROUND($H583/30,0)/2,"")</f>
        <v/>
      </c>
      <c r="K583" s="7">
        <f>IF($G583="正常",MIN($J583,12),"")</f>
        <v/>
      </c>
      <c r="L583" s="7">
        <f>IF($G583="正常",MAX($J583-12,0),"")</f>
        <v/>
      </c>
    </row>
    <row r="584">
      <c r="A584" s="3" t="inlineStr">
        <is>
          <t>周学莲</t>
        </is>
      </c>
      <c r="B584" s="3" t="inlineStr">
        <is>
          <t>8/25</t>
        </is>
      </c>
      <c r="C584" s="3" t="inlineStr">
        <is>
          <t>二</t>
        </is>
      </c>
      <c r="D584" s="3" t="inlineStr">
        <is>
          <t>08:55 18:36</t>
        </is>
      </c>
      <c r="E584" s="4" t="n">
        <v>0.3715277777777778</v>
      </c>
      <c r="F584" s="4" t="n">
        <v>0.775</v>
      </c>
      <c r="G584" s="3">
        <f>IF($E584="","空卡",IF($F584="","单卡","正常"))</f>
        <v/>
      </c>
      <c r="H584" s="5">
        <f>IF($G584="正常",ROUND(($F584-$E584)*1440,0),"")</f>
        <v/>
      </c>
      <c r="I584" s="6">
        <f>IF($G584="正常",$H584/60,"")</f>
        <v/>
      </c>
      <c r="J584" s="7">
        <f>IF($G584="正常",ROUND($H584/30,0)/2,"")</f>
        <v/>
      </c>
      <c r="K584" s="7">
        <f>IF($G584="正常",MIN($J584,12),"")</f>
        <v/>
      </c>
      <c r="L584" s="7">
        <f>IF($G584="正常",MAX($J584-12,0),"")</f>
        <v/>
      </c>
    </row>
    <row r="585">
      <c r="A585" s="3" t="inlineStr">
        <is>
          <t>周学莲</t>
        </is>
      </c>
      <c r="B585" s="3" t="inlineStr">
        <is>
          <t>8/26</t>
        </is>
      </c>
      <c r="C585" s="3" t="inlineStr">
        <is>
          <t>三</t>
        </is>
      </c>
      <c r="D585" s="3" t="inlineStr">
        <is>
          <t>07:52 18:56</t>
        </is>
      </c>
      <c r="E585" s="4" t="n">
        <v>0.3277777777777778</v>
      </c>
      <c r="F585" s="4" t="n">
        <v>0.7888888888888889</v>
      </c>
      <c r="G585" s="3">
        <f>IF($E585="","空卡",IF($F585="","单卡","正常"))</f>
        <v/>
      </c>
      <c r="H585" s="5">
        <f>IF($G585="正常",ROUND(($F585-$E585)*1440,0),"")</f>
        <v/>
      </c>
      <c r="I585" s="6">
        <f>IF($G585="正常",$H585/60,"")</f>
        <v/>
      </c>
      <c r="J585" s="7">
        <f>IF($G585="正常",ROUND($H585/30,0)/2,"")</f>
        <v/>
      </c>
      <c r="K585" s="7">
        <f>IF($G585="正常",MIN($J585,12),"")</f>
        <v/>
      </c>
      <c r="L585" s="7">
        <f>IF($G585="正常",MAX($J585-12,0),"")</f>
        <v/>
      </c>
    </row>
    <row r="586">
      <c r="A586" s="8" t="inlineStr">
        <is>
          <t>周学莲</t>
        </is>
      </c>
      <c r="B586" s="8" t="inlineStr">
        <is>
          <t>8/27</t>
        </is>
      </c>
      <c r="C586" s="8" t="inlineStr">
        <is>
          <t>四</t>
        </is>
      </c>
      <c r="D586" s="8" t="inlineStr"/>
      <c r="E586" s="9" t="n"/>
      <c r="F586" s="9" t="n"/>
      <c r="G586" s="10">
        <f>IF($E586="","空卡",IF($F586="","单卡","正常"))</f>
        <v/>
      </c>
      <c r="H586" s="11">
        <f>IF($G586="正常",ROUND(($F586-$E586)*1440,0),"")</f>
        <v/>
      </c>
      <c r="I586" s="12">
        <f>IF($G586="正常",$H586/60,"")</f>
        <v/>
      </c>
      <c r="J586" s="13">
        <f>IF($G586="正常",ROUND($H586/30,0)/2,"")</f>
        <v/>
      </c>
      <c r="K586" s="13">
        <f>IF($G586="正常",MIN($J586,12),"")</f>
        <v/>
      </c>
      <c r="L586" s="13">
        <f>IF($G586="正常",MAX($J586-12,0),"")</f>
        <v/>
      </c>
    </row>
    <row r="587">
      <c r="A587" s="3" t="inlineStr">
        <is>
          <t>周学莲</t>
        </is>
      </c>
      <c r="B587" s="3" t="inlineStr">
        <is>
          <t>8/28</t>
        </is>
      </c>
      <c r="C587" s="3" t="inlineStr">
        <is>
          <t>五</t>
        </is>
      </c>
      <c r="D587" s="3" t="inlineStr">
        <is>
          <t>07:52 18:29</t>
        </is>
      </c>
      <c r="E587" s="4" t="n">
        <v>0.3277777777777778</v>
      </c>
      <c r="F587" s="4" t="n">
        <v>0.7701388888888889</v>
      </c>
      <c r="G587" s="3">
        <f>IF($E587="","空卡",IF($F587="","单卡","正常"))</f>
        <v/>
      </c>
      <c r="H587" s="5">
        <f>IF($G587="正常",ROUND(($F587-$E587)*1440,0),"")</f>
        <v/>
      </c>
      <c r="I587" s="6">
        <f>IF($G587="正常",$H587/60,"")</f>
        <v/>
      </c>
      <c r="J587" s="7">
        <f>IF($G587="正常",ROUND($H587/30,0)/2,"")</f>
        <v/>
      </c>
      <c r="K587" s="7">
        <f>IF($G587="正常",MIN($J587,12),"")</f>
        <v/>
      </c>
      <c r="L587" s="7">
        <f>IF($G587="正常",MAX($J587-12,0),"")</f>
        <v/>
      </c>
    </row>
    <row r="588">
      <c r="A588" s="3" t="inlineStr">
        <is>
          <t>周学莲</t>
        </is>
      </c>
      <c r="B588" s="3" t="inlineStr">
        <is>
          <t>8/29</t>
        </is>
      </c>
      <c r="C588" s="3" t="inlineStr">
        <is>
          <t>六</t>
        </is>
      </c>
      <c r="D588" s="3" t="inlineStr">
        <is>
          <t>07:53 19:00</t>
        </is>
      </c>
      <c r="E588" s="4" t="n">
        <v>0.3284722222222222</v>
      </c>
      <c r="F588" s="4" t="n">
        <v>0.7916666666666666</v>
      </c>
      <c r="G588" s="3">
        <f>IF($E588="","空卡",IF($F588="","单卡","正常"))</f>
        <v/>
      </c>
      <c r="H588" s="5">
        <f>IF($G588="正常",ROUND(($F588-$E588)*1440,0),"")</f>
        <v/>
      </c>
      <c r="I588" s="6">
        <f>IF($G588="正常",$H588/60,"")</f>
        <v/>
      </c>
      <c r="J588" s="7">
        <f>IF($G588="正常",ROUND($H588/30,0)/2,"")</f>
        <v/>
      </c>
      <c r="K588" s="7">
        <f>IF($G588="正常",MIN($J588,12),"")</f>
        <v/>
      </c>
      <c r="L588" s="7">
        <f>IF($G588="正常",MAX($J588-12,0),"")</f>
        <v/>
      </c>
    </row>
    <row r="589">
      <c r="A589" s="3" t="inlineStr">
        <is>
          <t>周学莲</t>
        </is>
      </c>
      <c r="B589" s="3" t="inlineStr">
        <is>
          <t>8/30</t>
        </is>
      </c>
      <c r="C589" s="3" t="inlineStr">
        <is>
          <t>日</t>
        </is>
      </c>
      <c r="D589" s="3" t="inlineStr">
        <is>
          <t>07:51 18:43</t>
        </is>
      </c>
      <c r="E589" s="4" t="n">
        <v>0.3270833333333333</v>
      </c>
      <c r="F589" s="4" t="n">
        <v>0.7798611111111111</v>
      </c>
      <c r="G589" s="3">
        <f>IF($E589="","空卡",IF($F589="","单卡","正常"))</f>
        <v/>
      </c>
      <c r="H589" s="5">
        <f>IF($G589="正常",ROUND(($F589-$E589)*1440,0),"")</f>
        <v/>
      </c>
      <c r="I589" s="6">
        <f>IF($G589="正常",$H589/60,"")</f>
        <v/>
      </c>
      <c r="J589" s="7">
        <f>IF($G589="正常",ROUND($H589/30,0)/2,"")</f>
        <v/>
      </c>
      <c r="K589" s="7">
        <f>IF($G589="正常",MIN($J589,12),"")</f>
        <v/>
      </c>
      <c r="L589" s="7">
        <f>IF($G589="正常",MAX($J589-12,0),"")</f>
        <v/>
      </c>
    </row>
    <row r="590">
      <c r="A590" s="8" t="inlineStr">
        <is>
          <t>周学莲</t>
        </is>
      </c>
      <c r="B590" s="8" t="inlineStr">
        <is>
          <t>8/31</t>
        </is>
      </c>
      <c r="C590" s="8" t="inlineStr">
        <is>
          <t>一</t>
        </is>
      </c>
      <c r="D590" s="8" t="inlineStr"/>
      <c r="E590" s="9" t="n"/>
      <c r="F590" s="9" t="n"/>
      <c r="G590" s="10">
        <f>IF($E590="","空卡",IF($F590="","单卡","正常"))</f>
        <v/>
      </c>
      <c r="H590" s="11">
        <f>IF($G590="正常",ROUND(($F590-$E590)*1440,0),"")</f>
        <v/>
      </c>
      <c r="I590" s="12">
        <f>IF($G590="正常",$H590/60,"")</f>
        <v/>
      </c>
      <c r="J590" s="13">
        <f>IF($G590="正常",ROUND($H590/30,0)/2,"")</f>
        <v/>
      </c>
      <c r="K590" s="13">
        <f>IF($G590="正常",MIN($J590,12),"")</f>
        <v/>
      </c>
      <c r="L590" s="13">
        <f>IF($G590="正常",MAX($J590-12,0),"")</f>
        <v/>
      </c>
    </row>
    <row r="591">
      <c r="A591" s="3" t="inlineStr">
        <is>
          <t>李芳</t>
        </is>
      </c>
      <c r="B591" s="3" t="inlineStr">
        <is>
          <t>8/1</t>
        </is>
      </c>
      <c r="C591" s="3" t="inlineStr">
        <is>
          <t>六</t>
        </is>
      </c>
      <c r="D591" s="3" t="inlineStr">
        <is>
          <t>07:53 17:00</t>
        </is>
      </c>
      <c r="E591" s="4" t="n">
        <v>0.3284722222222222</v>
      </c>
      <c r="F591" s="4" t="n">
        <v>0.7083333333333334</v>
      </c>
      <c r="G591" s="3">
        <f>IF($E591="","空卡",IF($F591="","单卡","正常"))</f>
        <v/>
      </c>
      <c r="H591" s="5">
        <f>IF($G591="正常",ROUND(($F591-$E591)*1440,0),"")</f>
        <v/>
      </c>
      <c r="I591" s="6">
        <f>IF($G591="正常",$H591/60,"")</f>
        <v/>
      </c>
      <c r="J591" s="7">
        <f>IF($G591="正常",ROUND($H591/30,0)/2,"")</f>
        <v/>
      </c>
      <c r="K591" s="7">
        <f>IF($G591="正常",MIN($J591,12),"")</f>
        <v/>
      </c>
      <c r="L591" s="7">
        <f>IF($G591="正常",MAX($J591-12,0),"")</f>
        <v/>
      </c>
    </row>
    <row r="592">
      <c r="A592" s="3" t="inlineStr">
        <is>
          <t>李芳</t>
        </is>
      </c>
      <c r="B592" s="3" t="inlineStr">
        <is>
          <t>8/2</t>
        </is>
      </c>
      <c r="C592" s="3" t="inlineStr">
        <is>
          <t>日</t>
        </is>
      </c>
      <c r="D592" s="3" t="inlineStr">
        <is>
          <t>07:53 14:58</t>
        </is>
      </c>
      <c r="E592" s="4" t="n">
        <v>0.3284722222222222</v>
      </c>
      <c r="F592" s="4" t="n">
        <v>0.6236111111111111</v>
      </c>
      <c r="G592" s="3">
        <f>IF($E592="","空卡",IF($F592="","单卡","正常"))</f>
        <v/>
      </c>
      <c r="H592" s="5">
        <f>IF($G592="正常",ROUND(($F592-$E592)*1440,0),"")</f>
        <v/>
      </c>
      <c r="I592" s="6">
        <f>IF($G592="正常",$H592/60,"")</f>
        <v/>
      </c>
      <c r="J592" s="7">
        <f>IF($G592="正常",ROUND($H592/30,0)/2,"")</f>
        <v/>
      </c>
      <c r="K592" s="7">
        <f>IF($G592="正常",MIN($J592,12),"")</f>
        <v/>
      </c>
      <c r="L592" s="7">
        <f>IF($G592="正常",MAX($J592-12,0),"")</f>
        <v/>
      </c>
    </row>
    <row r="593">
      <c r="A593" s="3" t="inlineStr">
        <is>
          <t>李芳</t>
        </is>
      </c>
      <c r="B593" s="3" t="inlineStr">
        <is>
          <t>8/3</t>
        </is>
      </c>
      <c r="C593" s="3" t="inlineStr">
        <is>
          <t>一</t>
        </is>
      </c>
      <c r="D593" s="3" t="inlineStr">
        <is>
          <t>08:22 15:37</t>
        </is>
      </c>
      <c r="E593" s="4" t="n">
        <v>0.3486111111111111</v>
      </c>
      <c r="F593" s="4" t="n">
        <v>0.6506944444444445</v>
      </c>
      <c r="G593" s="3">
        <f>IF($E593="","空卡",IF($F593="","单卡","正常"))</f>
        <v/>
      </c>
      <c r="H593" s="5">
        <f>IF($G593="正常",ROUND(($F593-$E593)*1440,0),"")</f>
        <v/>
      </c>
      <c r="I593" s="6">
        <f>IF($G593="正常",$H593/60,"")</f>
        <v/>
      </c>
      <c r="J593" s="7">
        <f>IF($G593="正常",ROUND($H593/30,0)/2,"")</f>
        <v/>
      </c>
      <c r="K593" s="7">
        <f>IF($G593="正常",MIN($J593,12),"")</f>
        <v/>
      </c>
      <c r="L593" s="7">
        <f>IF($G593="正常",MAX($J593-12,0),"")</f>
        <v/>
      </c>
    </row>
    <row r="594">
      <c r="A594" s="8" t="inlineStr">
        <is>
          <t>李芳</t>
        </is>
      </c>
      <c r="B594" s="8" t="inlineStr">
        <is>
          <t>8/4</t>
        </is>
      </c>
      <c r="C594" s="8" t="inlineStr">
        <is>
          <t>二</t>
        </is>
      </c>
      <c r="D594" s="8" t="inlineStr"/>
      <c r="E594" s="9" t="n"/>
      <c r="F594" s="9" t="n"/>
      <c r="G594" s="10">
        <f>IF($E594="","空卡",IF($F594="","单卡","正常"))</f>
        <v/>
      </c>
      <c r="H594" s="11">
        <f>IF($G594="正常",ROUND(($F594-$E594)*1440,0),"")</f>
        <v/>
      </c>
      <c r="I594" s="12">
        <f>IF($G594="正常",$H594/60,"")</f>
        <v/>
      </c>
      <c r="J594" s="13">
        <f>IF($G594="正常",ROUND($H594/30,0)/2,"")</f>
        <v/>
      </c>
      <c r="K594" s="13">
        <f>IF($G594="正常",MIN($J594,12),"")</f>
        <v/>
      </c>
      <c r="L594" s="13">
        <f>IF($G594="正常",MAX($J594-12,0),"")</f>
        <v/>
      </c>
    </row>
    <row r="595">
      <c r="A595" s="8" t="inlineStr">
        <is>
          <t>李芳</t>
        </is>
      </c>
      <c r="B595" s="8" t="inlineStr">
        <is>
          <t>8/5</t>
        </is>
      </c>
      <c r="C595" s="8" t="inlineStr">
        <is>
          <t>三</t>
        </is>
      </c>
      <c r="D595" s="8" t="inlineStr"/>
      <c r="E595" s="9" t="n"/>
      <c r="F595" s="9" t="n"/>
      <c r="G595" s="10">
        <f>IF($E595="","空卡",IF($F595="","单卡","正常"))</f>
        <v/>
      </c>
      <c r="H595" s="11">
        <f>IF($G595="正常",ROUND(($F595-$E595)*1440,0),"")</f>
        <v/>
      </c>
      <c r="I595" s="12">
        <f>IF($G595="正常",$H595/60,"")</f>
        <v/>
      </c>
      <c r="J595" s="13">
        <f>IF($G595="正常",ROUND($H595/30,0)/2,"")</f>
        <v/>
      </c>
      <c r="K595" s="13">
        <f>IF($G595="正常",MIN($J595,12),"")</f>
        <v/>
      </c>
      <c r="L595" s="13">
        <f>IF($G595="正常",MAX($J595-12,0),"")</f>
        <v/>
      </c>
    </row>
    <row r="596">
      <c r="A596" s="3" t="inlineStr">
        <is>
          <t>李芳</t>
        </is>
      </c>
      <c r="B596" s="3" t="inlineStr">
        <is>
          <t>8/6</t>
        </is>
      </c>
      <c r="C596" s="3" t="inlineStr">
        <is>
          <t>四</t>
        </is>
      </c>
      <c r="D596" s="3" t="inlineStr">
        <is>
          <t>08:49 19:00</t>
        </is>
      </c>
      <c r="E596" s="4" t="n">
        <v>0.3673611111111111</v>
      </c>
      <c r="F596" s="4" t="n">
        <v>0.7916666666666666</v>
      </c>
      <c r="G596" s="3">
        <f>IF($E596="","空卡",IF($F596="","单卡","正常"))</f>
        <v/>
      </c>
      <c r="H596" s="5">
        <f>IF($G596="正常",ROUND(($F596-$E596)*1440,0),"")</f>
        <v/>
      </c>
      <c r="I596" s="6">
        <f>IF($G596="正常",$H596/60,"")</f>
        <v/>
      </c>
      <c r="J596" s="7">
        <f>IF($G596="正常",ROUND($H596/30,0)/2,"")</f>
        <v/>
      </c>
      <c r="K596" s="7">
        <f>IF($G596="正常",MIN($J596,12),"")</f>
        <v/>
      </c>
      <c r="L596" s="7">
        <f>IF($G596="正常",MAX($J596-12,0),"")</f>
        <v/>
      </c>
    </row>
    <row r="597">
      <c r="A597" s="3" t="inlineStr">
        <is>
          <t>李芳</t>
        </is>
      </c>
      <c r="B597" s="3" t="inlineStr">
        <is>
          <t>8/7</t>
        </is>
      </c>
      <c r="C597" s="3" t="inlineStr">
        <is>
          <t>五</t>
        </is>
      </c>
      <c r="D597" s="3" t="inlineStr">
        <is>
          <t>06:52 19:41</t>
        </is>
      </c>
      <c r="E597" s="4" t="n">
        <v>0.2861111111111111</v>
      </c>
      <c r="F597" s="4" t="n">
        <v>0.8201388888888889</v>
      </c>
      <c r="G597" s="3">
        <f>IF($E597="","空卡",IF($F597="","单卡","正常"))</f>
        <v/>
      </c>
      <c r="H597" s="5">
        <f>IF($G597="正常",ROUND(($F597-$E597)*1440,0),"")</f>
        <v/>
      </c>
      <c r="I597" s="6">
        <f>IF($G597="正常",$H597/60,"")</f>
        <v/>
      </c>
      <c r="J597" s="7">
        <f>IF($G597="正常",ROUND($H597/30,0)/2,"")</f>
        <v/>
      </c>
      <c r="K597" s="7">
        <f>IF($G597="正常",MIN($J597,12),"")</f>
        <v/>
      </c>
      <c r="L597" s="7">
        <f>IF($G597="正常",MAX($J597-12,0),"")</f>
        <v/>
      </c>
    </row>
    <row r="598">
      <c r="A598" s="3" t="inlineStr">
        <is>
          <t>李芳</t>
        </is>
      </c>
      <c r="B598" s="3" t="inlineStr">
        <is>
          <t>8/8</t>
        </is>
      </c>
      <c r="C598" s="3" t="inlineStr">
        <is>
          <t>六</t>
        </is>
      </c>
      <c r="D598" s="3" t="inlineStr">
        <is>
          <t>08:28 19:36</t>
        </is>
      </c>
      <c r="E598" s="4" t="n">
        <v>0.3527777777777778</v>
      </c>
      <c r="F598" s="4" t="n">
        <v>0.8166666666666667</v>
      </c>
      <c r="G598" s="3">
        <f>IF($E598="","空卡",IF($F598="","单卡","正常"))</f>
        <v/>
      </c>
      <c r="H598" s="5">
        <f>IF($G598="正常",ROUND(($F598-$E598)*1440,0),"")</f>
        <v/>
      </c>
      <c r="I598" s="6">
        <f>IF($G598="正常",$H598/60,"")</f>
        <v/>
      </c>
      <c r="J598" s="7">
        <f>IF($G598="正常",ROUND($H598/30,0)/2,"")</f>
        <v/>
      </c>
      <c r="K598" s="7">
        <f>IF($G598="正常",MIN($J598,12),"")</f>
        <v/>
      </c>
      <c r="L598" s="7">
        <f>IF($G598="正常",MAX($J598-12,0),"")</f>
        <v/>
      </c>
    </row>
    <row r="599">
      <c r="A599" s="8" t="inlineStr">
        <is>
          <t>李芳</t>
        </is>
      </c>
      <c r="B599" s="8" t="inlineStr">
        <is>
          <t>8/9</t>
        </is>
      </c>
      <c r="C599" s="8" t="inlineStr">
        <is>
          <t>日</t>
        </is>
      </c>
      <c r="D599" s="8" t="inlineStr"/>
      <c r="E599" s="9" t="n"/>
      <c r="F599" s="9" t="n"/>
      <c r="G599" s="10">
        <f>IF($E599="","空卡",IF($F599="","单卡","正常"))</f>
        <v/>
      </c>
      <c r="H599" s="11">
        <f>IF($G599="正常",ROUND(($F599-$E599)*1440,0),"")</f>
        <v/>
      </c>
      <c r="I599" s="12">
        <f>IF($G599="正常",$H599/60,"")</f>
        <v/>
      </c>
      <c r="J599" s="13">
        <f>IF($G599="正常",ROUND($H599/30,0)/2,"")</f>
        <v/>
      </c>
      <c r="K599" s="13">
        <f>IF($G599="正常",MIN($J599,12),"")</f>
        <v/>
      </c>
      <c r="L599" s="13">
        <f>IF($G599="正常",MAX($J599-12,0),"")</f>
        <v/>
      </c>
    </row>
    <row r="600">
      <c r="A600" s="3" t="inlineStr">
        <is>
          <t>李芳</t>
        </is>
      </c>
      <c r="B600" s="3" t="inlineStr">
        <is>
          <t>8/10</t>
        </is>
      </c>
      <c r="C600" s="3" t="inlineStr">
        <is>
          <t>一</t>
        </is>
      </c>
      <c r="D600" s="3" t="inlineStr">
        <is>
          <t>08:29 19:56</t>
        </is>
      </c>
      <c r="E600" s="4" t="n">
        <v>0.3534722222222222</v>
      </c>
      <c r="F600" s="4" t="n">
        <v>0.8305555555555556</v>
      </c>
      <c r="G600" s="3">
        <f>IF($E600="","空卡",IF($F600="","单卡","正常"))</f>
        <v/>
      </c>
      <c r="H600" s="5">
        <f>IF($G600="正常",ROUND(($F600-$E600)*1440,0),"")</f>
        <v/>
      </c>
      <c r="I600" s="6">
        <f>IF($G600="正常",$H600/60,"")</f>
        <v/>
      </c>
      <c r="J600" s="7">
        <f>IF($G600="正常",ROUND($H600/30,0)/2,"")</f>
        <v/>
      </c>
      <c r="K600" s="7">
        <f>IF($G600="正常",MIN($J600,12),"")</f>
        <v/>
      </c>
      <c r="L600" s="7">
        <f>IF($G600="正常",MAX($J600-12,0),"")</f>
        <v/>
      </c>
    </row>
    <row r="601">
      <c r="A601" s="8" t="inlineStr">
        <is>
          <t>李芳</t>
        </is>
      </c>
      <c r="B601" s="8" t="inlineStr">
        <is>
          <t>8/11</t>
        </is>
      </c>
      <c r="C601" s="8" t="inlineStr">
        <is>
          <t>二</t>
        </is>
      </c>
      <c r="D601" s="8" t="inlineStr"/>
      <c r="E601" s="9" t="n"/>
      <c r="F601" s="9" t="n"/>
      <c r="G601" s="10">
        <f>IF($E601="","空卡",IF($F601="","单卡","正常"))</f>
        <v/>
      </c>
      <c r="H601" s="11">
        <f>IF($G601="正常",ROUND(($F601-$E601)*1440,0),"")</f>
        <v/>
      </c>
      <c r="I601" s="12">
        <f>IF($G601="正常",$H601/60,"")</f>
        <v/>
      </c>
      <c r="J601" s="13">
        <f>IF($G601="正常",ROUND($H601/30,0)/2,"")</f>
        <v/>
      </c>
      <c r="K601" s="13">
        <f>IF($G601="正常",MIN($J601,12),"")</f>
        <v/>
      </c>
      <c r="L601" s="13">
        <f>IF($G601="正常",MAX($J601-12,0),"")</f>
        <v/>
      </c>
    </row>
    <row r="602">
      <c r="A602" s="8" t="inlineStr">
        <is>
          <t>李芳</t>
        </is>
      </c>
      <c r="B602" s="8" t="inlineStr">
        <is>
          <t>8/12</t>
        </is>
      </c>
      <c r="C602" s="8" t="inlineStr">
        <is>
          <t>三</t>
        </is>
      </c>
      <c r="D602" s="8" t="inlineStr"/>
      <c r="E602" s="9" t="n"/>
      <c r="F602" s="9" t="n"/>
      <c r="G602" s="10">
        <f>IF($E602="","空卡",IF($F602="","单卡","正常"))</f>
        <v/>
      </c>
      <c r="H602" s="11">
        <f>IF($G602="正常",ROUND(($F602-$E602)*1440,0),"")</f>
        <v/>
      </c>
      <c r="I602" s="12">
        <f>IF($G602="正常",$H602/60,"")</f>
        <v/>
      </c>
      <c r="J602" s="13">
        <f>IF($G602="正常",ROUND($H602/30,0)/2,"")</f>
        <v/>
      </c>
      <c r="K602" s="13">
        <f>IF($G602="正常",MIN($J602,12),"")</f>
        <v/>
      </c>
      <c r="L602" s="13">
        <f>IF($G602="正常",MAX($J602-12,0),"")</f>
        <v/>
      </c>
    </row>
    <row r="603">
      <c r="A603" s="3" t="inlineStr">
        <is>
          <t>李芳</t>
        </is>
      </c>
      <c r="B603" s="3" t="inlineStr">
        <is>
          <t>8/13</t>
        </is>
      </c>
      <c r="C603" s="3" t="inlineStr">
        <is>
          <t>四</t>
        </is>
      </c>
      <c r="D603" s="3" t="inlineStr">
        <is>
          <t>08:29 19:01</t>
        </is>
      </c>
      <c r="E603" s="4" t="n">
        <v>0.3534722222222222</v>
      </c>
      <c r="F603" s="4" t="n">
        <v>0.7923611111111111</v>
      </c>
      <c r="G603" s="3">
        <f>IF($E603="","空卡",IF($F603="","单卡","正常"))</f>
        <v/>
      </c>
      <c r="H603" s="5">
        <f>IF($G603="正常",ROUND(($F603-$E603)*1440,0),"")</f>
        <v/>
      </c>
      <c r="I603" s="6">
        <f>IF($G603="正常",$H603/60,"")</f>
        <v/>
      </c>
      <c r="J603" s="7">
        <f>IF($G603="正常",ROUND($H603/30,0)/2,"")</f>
        <v/>
      </c>
      <c r="K603" s="7">
        <f>IF($G603="正常",MIN($J603,12),"")</f>
        <v/>
      </c>
      <c r="L603" s="7">
        <f>IF($G603="正常",MAX($J603-12,0),"")</f>
        <v/>
      </c>
    </row>
    <row r="604">
      <c r="A604" s="3" t="inlineStr">
        <is>
          <t>李芳</t>
        </is>
      </c>
      <c r="B604" s="3" t="inlineStr">
        <is>
          <t>8/14</t>
        </is>
      </c>
      <c r="C604" s="3" t="inlineStr">
        <is>
          <t>五</t>
        </is>
      </c>
      <c r="D604" s="3" t="inlineStr">
        <is>
          <t>08:25 20:54</t>
        </is>
      </c>
      <c r="E604" s="4" t="n">
        <v>0.3506944444444444</v>
      </c>
      <c r="F604" s="4" t="n">
        <v>0.8708333333333333</v>
      </c>
      <c r="G604" s="3">
        <f>IF($E604="","空卡",IF($F604="","单卡","正常"))</f>
        <v/>
      </c>
      <c r="H604" s="5">
        <f>IF($G604="正常",ROUND(($F604-$E604)*1440,0),"")</f>
        <v/>
      </c>
      <c r="I604" s="6">
        <f>IF($G604="正常",$H604/60,"")</f>
        <v/>
      </c>
      <c r="J604" s="7">
        <f>IF($G604="正常",ROUND($H604/30,0)/2,"")</f>
        <v/>
      </c>
      <c r="K604" s="7">
        <f>IF($G604="正常",MIN($J604,12),"")</f>
        <v/>
      </c>
      <c r="L604" s="7">
        <f>IF($G604="正常",MAX($J604-12,0),"")</f>
        <v/>
      </c>
    </row>
    <row r="605">
      <c r="A605" s="3" t="inlineStr">
        <is>
          <t>李芳</t>
        </is>
      </c>
      <c r="B605" s="3" t="inlineStr">
        <is>
          <t>8/15</t>
        </is>
      </c>
      <c r="C605" s="3" t="inlineStr">
        <is>
          <t>六</t>
        </is>
      </c>
      <c r="D605" s="3" t="inlineStr">
        <is>
          <t>06:54 19:01</t>
        </is>
      </c>
      <c r="E605" s="4" t="n">
        <v>0.2875</v>
      </c>
      <c r="F605" s="4" t="n">
        <v>0.7923611111111111</v>
      </c>
      <c r="G605" s="3">
        <f>IF($E605="","空卡",IF($F605="","单卡","正常"))</f>
        <v/>
      </c>
      <c r="H605" s="5">
        <f>IF($G605="正常",ROUND(($F605-$E605)*1440,0),"")</f>
        <v/>
      </c>
      <c r="I605" s="6">
        <f>IF($G605="正常",$H605/60,"")</f>
        <v/>
      </c>
      <c r="J605" s="7">
        <f>IF($G605="正常",ROUND($H605/30,0)/2,"")</f>
        <v/>
      </c>
      <c r="K605" s="7">
        <f>IF($G605="正常",MIN($J605,12),"")</f>
        <v/>
      </c>
      <c r="L605" s="7">
        <f>IF($G605="正常",MAX($J605-12,0),"")</f>
        <v/>
      </c>
    </row>
    <row r="606">
      <c r="A606" s="8" t="inlineStr">
        <is>
          <t>李芳</t>
        </is>
      </c>
      <c r="B606" s="8" t="inlineStr">
        <is>
          <t>8/16</t>
        </is>
      </c>
      <c r="C606" s="8" t="inlineStr">
        <is>
          <t>日</t>
        </is>
      </c>
      <c r="D606" s="8" t="inlineStr"/>
      <c r="E606" s="9" t="n"/>
      <c r="F606" s="9" t="n"/>
      <c r="G606" s="10">
        <f>IF($E606="","空卡",IF($F606="","单卡","正常"))</f>
        <v/>
      </c>
      <c r="H606" s="11">
        <f>IF($G606="正常",ROUND(($F606-$E606)*1440,0),"")</f>
        <v/>
      </c>
      <c r="I606" s="12">
        <f>IF($G606="正常",$H606/60,"")</f>
        <v/>
      </c>
      <c r="J606" s="13">
        <f>IF($G606="正常",ROUND($H606/30,0)/2,"")</f>
        <v/>
      </c>
      <c r="K606" s="13">
        <f>IF($G606="正常",MIN($J606,12),"")</f>
        <v/>
      </c>
      <c r="L606" s="13">
        <f>IF($G606="正常",MAX($J606-12,0),"")</f>
        <v/>
      </c>
    </row>
    <row r="607">
      <c r="A607" s="3" t="inlineStr">
        <is>
          <t>李芳</t>
        </is>
      </c>
      <c r="B607" s="3" t="inlineStr">
        <is>
          <t>8/17</t>
        </is>
      </c>
      <c r="C607" s="3" t="inlineStr">
        <is>
          <t>一</t>
        </is>
      </c>
      <c r="D607" s="3" t="inlineStr">
        <is>
          <t>07:59 19:58</t>
        </is>
      </c>
      <c r="E607" s="4" t="n">
        <v>0.3326388888888889</v>
      </c>
      <c r="F607" s="4" t="n">
        <v>0.8319444444444445</v>
      </c>
      <c r="G607" s="3">
        <f>IF($E607="","空卡",IF($F607="","单卡","正常"))</f>
        <v/>
      </c>
      <c r="H607" s="5">
        <f>IF($G607="正常",ROUND(($F607-$E607)*1440,0),"")</f>
        <v/>
      </c>
      <c r="I607" s="6">
        <f>IF($G607="正常",$H607/60,"")</f>
        <v/>
      </c>
      <c r="J607" s="7">
        <f>IF($G607="正常",ROUND($H607/30,0)/2,"")</f>
        <v/>
      </c>
      <c r="K607" s="7">
        <f>IF($G607="正常",MIN($J607,12),"")</f>
        <v/>
      </c>
      <c r="L607" s="7">
        <f>IF($G607="正常",MAX($J607-12,0),"")</f>
        <v/>
      </c>
    </row>
    <row r="608">
      <c r="A608" s="3" t="inlineStr">
        <is>
          <t>李芳</t>
        </is>
      </c>
      <c r="B608" s="3" t="inlineStr">
        <is>
          <t>8/18</t>
        </is>
      </c>
      <c r="C608" s="3" t="inlineStr">
        <is>
          <t>二</t>
        </is>
      </c>
      <c r="D608" s="3" t="inlineStr">
        <is>
          <t>08:00 18:57</t>
        </is>
      </c>
      <c r="E608" s="4" t="n">
        <v>0.3333333333333333</v>
      </c>
      <c r="F608" s="4" t="n">
        <v>0.7895833333333333</v>
      </c>
      <c r="G608" s="3">
        <f>IF($E608="","空卡",IF($F608="","单卡","正常"))</f>
        <v/>
      </c>
      <c r="H608" s="5">
        <f>IF($G608="正常",ROUND(($F608-$E608)*1440,0),"")</f>
        <v/>
      </c>
      <c r="I608" s="6">
        <f>IF($G608="正常",$H608/60,"")</f>
        <v/>
      </c>
      <c r="J608" s="7">
        <f>IF($G608="正常",ROUND($H608/30,0)/2,"")</f>
        <v/>
      </c>
      <c r="K608" s="7">
        <f>IF($G608="正常",MIN($J608,12),"")</f>
        <v/>
      </c>
      <c r="L608" s="7">
        <f>IF($G608="正常",MAX($J608-12,0),"")</f>
        <v/>
      </c>
    </row>
    <row r="609">
      <c r="A609" s="3" t="inlineStr">
        <is>
          <t>李芳</t>
        </is>
      </c>
      <c r="B609" s="3" t="inlineStr">
        <is>
          <t>8/19</t>
        </is>
      </c>
      <c r="C609" s="3" t="inlineStr">
        <is>
          <t>三</t>
        </is>
      </c>
      <c r="D609" s="3" t="inlineStr">
        <is>
          <t>07:25 20:31</t>
        </is>
      </c>
      <c r="E609" s="4" t="n">
        <v>0.3090277777777778</v>
      </c>
      <c r="F609" s="4" t="n">
        <v>0.8548611111111111</v>
      </c>
      <c r="G609" s="3">
        <f>IF($E609="","空卡",IF($F609="","单卡","正常"))</f>
        <v/>
      </c>
      <c r="H609" s="5">
        <f>IF($G609="正常",ROUND(($F609-$E609)*1440,0),"")</f>
        <v/>
      </c>
      <c r="I609" s="6">
        <f>IF($G609="正常",$H609/60,"")</f>
        <v/>
      </c>
      <c r="J609" s="7">
        <f>IF($G609="正常",ROUND($H609/30,0)/2,"")</f>
        <v/>
      </c>
      <c r="K609" s="7">
        <f>IF($G609="正常",MIN($J609,12),"")</f>
        <v/>
      </c>
      <c r="L609" s="7">
        <f>IF($G609="正常",MAX($J609-12,0),"")</f>
        <v/>
      </c>
    </row>
    <row r="610">
      <c r="A610" s="8" t="inlineStr">
        <is>
          <t>李芳</t>
        </is>
      </c>
      <c r="B610" s="8" t="inlineStr">
        <is>
          <t>8/20</t>
        </is>
      </c>
      <c r="C610" s="8" t="inlineStr">
        <is>
          <t>四</t>
        </is>
      </c>
      <c r="D610" s="8" t="inlineStr"/>
      <c r="E610" s="9" t="n"/>
      <c r="F610" s="9" t="n"/>
      <c r="G610" s="10">
        <f>IF($E610="","空卡",IF($F610="","单卡","正常"))</f>
        <v/>
      </c>
      <c r="H610" s="11">
        <f>IF($G610="正常",ROUND(($F610-$E610)*1440,0),"")</f>
        <v/>
      </c>
      <c r="I610" s="12">
        <f>IF($G610="正常",$H610/60,"")</f>
        <v/>
      </c>
      <c r="J610" s="13">
        <f>IF($G610="正常",ROUND($H610/30,0)/2,"")</f>
        <v/>
      </c>
      <c r="K610" s="13">
        <f>IF($G610="正常",MIN($J610,12),"")</f>
        <v/>
      </c>
      <c r="L610" s="13">
        <f>IF($G610="正常",MAX($J610-12,0),"")</f>
        <v/>
      </c>
    </row>
    <row r="611">
      <c r="A611" s="3" t="inlineStr">
        <is>
          <t>李芳</t>
        </is>
      </c>
      <c r="B611" s="3" t="inlineStr">
        <is>
          <t>8/21</t>
        </is>
      </c>
      <c r="C611" s="3" t="inlineStr">
        <is>
          <t>五</t>
        </is>
      </c>
      <c r="D611" s="3" t="inlineStr">
        <is>
          <t>06:56 19:03</t>
        </is>
      </c>
      <c r="E611" s="4" t="n">
        <v>0.2888888888888889</v>
      </c>
      <c r="F611" s="4" t="n">
        <v>0.79375</v>
      </c>
      <c r="G611" s="3">
        <f>IF($E611="","空卡",IF($F611="","单卡","正常"))</f>
        <v/>
      </c>
      <c r="H611" s="5">
        <f>IF($G611="正常",ROUND(($F611-$E611)*1440,0),"")</f>
        <v/>
      </c>
      <c r="I611" s="6">
        <f>IF($G611="正常",$H611/60,"")</f>
        <v/>
      </c>
      <c r="J611" s="7">
        <f>IF($G611="正常",ROUND($H611/30,0)/2,"")</f>
        <v/>
      </c>
      <c r="K611" s="7">
        <f>IF($G611="正常",MIN($J611,12),"")</f>
        <v/>
      </c>
      <c r="L611" s="7">
        <f>IF($G611="正常",MAX($J611-12,0),"")</f>
        <v/>
      </c>
    </row>
    <row r="612">
      <c r="A612" s="3" t="inlineStr">
        <is>
          <t>李芳</t>
        </is>
      </c>
      <c r="B612" s="3" t="inlineStr">
        <is>
          <t>8/22</t>
        </is>
      </c>
      <c r="C612" s="3" t="inlineStr">
        <is>
          <t>六</t>
        </is>
      </c>
      <c r="D612" s="3" t="inlineStr">
        <is>
          <t>06:59 18:45</t>
        </is>
      </c>
      <c r="E612" s="4" t="n">
        <v>0.2909722222222222</v>
      </c>
      <c r="F612" s="4" t="n">
        <v>0.78125</v>
      </c>
      <c r="G612" s="3">
        <f>IF($E612="","空卡",IF($F612="","单卡","正常"))</f>
        <v/>
      </c>
      <c r="H612" s="5">
        <f>IF($G612="正常",ROUND(($F612-$E612)*1440,0),"")</f>
        <v/>
      </c>
      <c r="I612" s="6">
        <f>IF($G612="正常",$H612/60,"")</f>
        <v/>
      </c>
      <c r="J612" s="7">
        <f>IF($G612="正常",ROUND($H612/30,0)/2,"")</f>
        <v/>
      </c>
      <c r="K612" s="7">
        <f>IF($G612="正常",MIN($J612,12),"")</f>
        <v/>
      </c>
      <c r="L612" s="7">
        <f>IF($G612="正常",MAX($J612-12,0),"")</f>
        <v/>
      </c>
    </row>
    <row r="613">
      <c r="A613" s="8" t="inlineStr">
        <is>
          <t>李芳</t>
        </is>
      </c>
      <c r="B613" s="8" t="inlineStr">
        <is>
          <t>8/23</t>
        </is>
      </c>
      <c r="C613" s="8" t="inlineStr">
        <is>
          <t>日</t>
        </is>
      </c>
      <c r="D613" s="8" t="inlineStr"/>
      <c r="E613" s="9" t="n"/>
      <c r="F613" s="9" t="n"/>
      <c r="G613" s="10">
        <f>IF($E613="","空卡",IF($F613="","单卡","正常"))</f>
        <v/>
      </c>
      <c r="H613" s="11">
        <f>IF($G613="正常",ROUND(($F613-$E613)*1440,0),"")</f>
        <v/>
      </c>
      <c r="I613" s="12">
        <f>IF($G613="正常",$H613/60,"")</f>
        <v/>
      </c>
      <c r="J613" s="13">
        <f>IF($G613="正常",ROUND($H613/30,0)/2,"")</f>
        <v/>
      </c>
      <c r="K613" s="13">
        <f>IF($G613="正常",MIN($J613,12),"")</f>
        <v/>
      </c>
      <c r="L613" s="13">
        <f>IF($G613="正常",MAX($J613-12,0),"")</f>
        <v/>
      </c>
    </row>
    <row r="614">
      <c r="A614" s="8" t="inlineStr">
        <is>
          <t>李芳</t>
        </is>
      </c>
      <c r="B614" s="8" t="inlineStr">
        <is>
          <t>8/24</t>
        </is>
      </c>
      <c r="C614" s="8" t="inlineStr">
        <is>
          <t>一</t>
        </is>
      </c>
      <c r="D614" s="8" t="inlineStr">
        <is>
          <t>06:56</t>
        </is>
      </c>
      <c r="E614" s="9" t="n">
        <v>0.2888888888888889</v>
      </c>
      <c r="F614" s="9" t="n"/>
      <c r="G614" s="10">
        <f>IF($E614="","空卡",IF($F614="","单卡","正常"))</f>
        <v/>
      </c>
      <c r="H614" s="11">
        <f>IF($G614="正常",ROUND(($F614-$E614)*1440,0),"")</f>
        <v/>
      </c>
      <c r="I614" s="12">
        <f>IF($G614="正常",$H614/60,"")</f>
        <v/>
      </c>
      <c r="J614" s="13">
        <f>IF($G614="正常",ROUND($H614/30,0)/2,"")</f>
        <v/>
      </c>
      <c r="K614" s="13">
        <f>IF($G614="正常",MIN($J614,12),"")</f>
        <v/>
      </c>
      <c r="L614" s="13">
        <f>IF($G614="正常",MAX($J614-12,0),"")</f>
        <v/>
      </c>
    </row>
    <row r="615">
      <c r="A615" s="8" t="inlineStr">
        <is>
          <t>李芳</t>
        </is>
      </c>
      <c r="B615" s="8" t="inlineStr">
        <is>
          <t>8/25</t>
        </is>
      </c>
      <c r="C615" s="8" t="inlineStr">
        <is>
          <t>二</t>
        </is>
      </c>
      <c r="D615" s="8" t="inlineStr"/>
      <c r="E615" s="9" t="n"/>
      <c r="F615" s="9" t="n"/>
      <c r="G615" s="10">
        <f>IF($E615="","空卡",IF($F615="","单卡","正常"))</f>
        <v/>
      </c>
      <c r="H615" s="11">
        <f>IF($G615="正常",ROUND(($F615-$E615)*1440,0),"")</f>
        <v/>
      </c>
      <c r="I615" s="12">
        <f>IF($G615="正常",$H615/60,"")</f>
        <v/>
      </c>
      <c r="J615" s="13">
        <f>IF($G615="正常",ROUND($H615/30,0)/2,"")</f>
        <v/>
      </c>
      <c r="K615" s="13">
        <f>IF($G615="正常",MIN($J615,12),"")</f>
        <v/>
      </c>
      <c r="L615" s="13">
        <f>IF($G615="正常",MAX($J615-12,0),"")</f>
        <v/>
      </c>
    </row>
    <row r="616">
      <c r="A616" s="3" t="inlineStr">
        <is>
          <t>李芳</t>
        </is>
      </c>
      <c r="B616" s="3" t="inlineStr">
        <is>
          <t>8/26</t>
        </is>
      </c>
      <c r="C616" s="3" t="inlineStr">
        <is>
          <t>三</t>
        </is>
      </c>
      <c r="D616" s="3" t="inlineStr">
        <is>
          <t>07:53 19:12</t>
        </is>
      </c>
      <c r="E616" s="4" t="n">
        <v>0.3284722222222222</v>
      </c>
      <c r="F616" s="4" t="n">
        <v>0.8</v>
      </c>
      <c r="G616" s="3">
        <f>IF($E616="","空卡",IF($F616="","单卡","正常"))</f>
        <v/>
      </c>
      <c r="H616" s="5">
        <f>IF($G616="正常",ROUND(($F616-$E616)*1440,0),"")</f>
        <v/>
      </c>
      <c r="I616" s="6">
        <f>IF($G616="正常",$H616/60,"")</f>
        <v/>
      </c>
      <c r="J616" s="7">
        <f>IF($G616="正常",ROUND($H616/30,0)/2,"")</f>
        <v/>
      </c>
      <c r="K616" s="7">
        <f>IF($G616="正常",MIN($J616,12),"")</f>
        <v/>
      </c>
      <c r="L616" s="7">
        <f>IF($G616="正常",MAX($J616-12,0),"")</f>
        <v/>
      </c>
    </row>
    <row r="617">
      <c r="A617" s="3" t="inlineStr">
        <is>
          <t>李芳</t>
        </is>
      </c>
      <c r="B617" s="3" t="inlineStr">
        <is>
          <t>8/27</t>
        </is>
      </c>
      <c r="C617" s="3" t="inlineStr">
        <is>
          <t>四</t>
        </is>
      </c>
      <c r="D617" s="3" t="inlineStr">
        <is>
          <t>07:53 19:04</t>
        </is>
      </c>
      <c r="E617" s="4" t="n">
        <v>0.3284722222222222</v>
      </c>
      <c r="F617" s="4" t="n">
        <v>0.7944444444444444</v>
      </c>
      <c r="G617" s="3">
        <f>IF($E617="","空卡",IF($F617="","单卡","正常"))</f>
        <v/>
      </c>
      <c r="H617" s="5">
        <f>IF($G617="正常",ROUND(($F617-$E617)*1440,0),"")</f>
        <v/>
      </c>
      <c r="I617" s="6">
        <f>IF($G617="正常",$H617/60,"")</f>
        <v/>
      </c>
      <c r="J617" s="7">
        <f>IF($G617="正常",ROUND($H617/30,0)/2,"")</f>
        <v/>
      </c>
      <c r="K617" s="7">
        <f>IF($G617="正常",MIN($J617,12),"")</f>
        <v/>
      </c>
      <c r="L617" s="7">
        <f>IF($G617="正常",MAX($J617-12,0),"")</f>
        <v/>
      </c>
    </row>
    <row r="618">
      <c r="A618" s="3" t="inlineStr">
        <is>
          <t>李芳</t>
        </is>
      </c>
      <c r="B618" s="3" t="inlineStr">
        <is>
          <t>8/28</t>
        </is>
      </c>
      <c r="C618" s="3" t="inlineStr">
        <is>
          <t>五</t>
        </is>
      </c>
      <c r="D618" s="3" t="inlineStr">
        <is>
          <t>07:55 18:30</t>
        </is>
      </c>
      <c r="E618" s="4" t="n">
        <v>0.3298611111111111</v>
      </c>
      <c r="F618" s="4" t="n">
        <v>0.7708333333333334</v>
      </c>
      <c r="G618" s="3">
        <f>IF($E618="","空卡",IF($F618="","单卡","正常"))</f>
        <v/>
      </c>
      <c r="H618" s="5">
        <f>IF($G618="正常",ROUND(($F618-$E618)*1440,0),"")</f>
        <v/>
      </c>
      <c r="I618" s="6">
        <f>IF($G618="正常",$H618/60,"")</f>
        <v/>
      </c>
      <c r="J618" s="7">
        <f>IF($G618="正常",ROUND($H618/30,0)/2,"")</f>
        <v/>
      </c>
      <c r="K618" s="7">
        <f>IF($G618="正常",MIN($J618,12),"")</f>
        <v/>
      </c>
      <c r="L618" s="7">
        <f>IF($G618="正常",MAX($J618-12,0),"")</f>
        <v/>
      </c>
    </row>
    <row r="619">
      <c r="A619" s="3" t="inlineStr">
        <is>
          <t>李芳</t>
        </is>
      </c>
      <c r="B619" s="3" t="inlineStr">
        <is>
          <t>8/29</t>
        </is>
      </c>
      <c r="C619" s="3" t="inlineStr">
        <is>
          <t>六</t>
        </is>
      </c>
      <c r="D619" s="3" t="inlineStr">
        <is>
          <t>07:54 21:58</t>
        </is>
      </c>
      <c r="E619" s="4" t="n">
        <v>0.3291666666666667</v>
      </c>
      <c r="F619" s="4" t="n">
        <v>0.9152777777777777</v>
      </c>
      <c r="G619" s="3">
        <f>IF($E619="","空卡",IF($F619="","单卡","正常"))</f>
        <v/>
      </c>
      <c r="H619" s="5">
        <f>IF($G619="正常",ROUND(($F619-$E619)*1440,0),"")</f>
        <v/>
      </c>
      <c r="I619" s="6">
        <f>IF($G619="正常",$H619/60,"")</f>
        <v/>
      </c>
      <c r="J619" s="7">
        <f>IF($G619="正常",ROUND($H619/30,0)/2,"")</f>
        <v/>
      </c>
      <c r="K619" s="7">
        <f>IF($G619="正常",MIN($J619,12),"")</f>
        <v/>
      </c>
      <c r="L619" s="7">
        <f>IF($G619="正常",MAX($J619-12,0),"")</f>
        <v/>
      </c>
    </row>
    <row r="620">
      <c r="A620" s="3" t="inlineStr">
        <is>
          <t>李芳</t>
        </is>
      </c>
      <c r="B620" s="3" t="inlineStr">
        <is>
          <t>8/30</t>
        </is>
      </c>
      <c r="C620" s="3" t="inlineStr">
        <is>
          <t>日</t>
        </is>
      </c>
      <c r="D620" s="3" t="inlineStr">
        <is>
          <t>07:55 12:54</t>
        </is>
      </c>
      <c r="E620" s="4" t="n">
        <v>0.3298611111111111</v>
      </c>
      <c r="F620" s="4" t="n">
        <v>0.5375</v>
      </c>
      <c r="G620" s="3">
        <f>IF($E620="","空卡",IF($F620="","单卡","正常"))</f>
        <v/>
      </c>
      <c r="H620" s="5">
        <f>IF($G620="正常",ROUND(($F620-$E620)*1440,0),"")</f>
        <v/>
      </c>
      <c r="I620" s="6">
        <f>IF($G620="正常",$H620/60,"")</f>
        <v/>
      </c>
      <c r="J620" s="7">
        <f>IF($G620="正常",ROUND($H620/30,0)/2,"")</f>
        <v/>
      </c>
      <c r="K620" s="7">
        <f>IF($G620="正常",MIN($J620,12),"")</f>
        <v/>
      </c>
      <c r="L620" s="7">
        <f>IF($G620="正常",MAX($J620-12,0),"")</f>
        <v/>
      </c>
    </row>
    <row r="621">
      <c r="A621" s="8" t="inlineStr">
        <is>
          <t>李芳</t>
        </is>
      </c>
      <c r="B621" s="8" t="inlineStr">
        <is>
          <t>8/31</t>
        </is>
      </c>
      <c r="C621" s="8" t="inlineStr">
        <is>
          <t>一</t>
        </is>
      </c>
      <c r="D621" s="8" t="inlineStr"/>
      <c r="E621" s="9" t="n"/>
      <c r="F621" s="9" t="n"/>
      <c r="G621" s="10">
        <f>IF($E621="","空卡",IF($F621="","单卡","正常"))</f>
        <v/>
      </c>
      <c r="H621" s="11">
        <f>IF($G621="正常",ROUND(($F621-$E621)*1440,0),"")</f>
        <v/>
      </c>
      <c r="I621" s="12">
        <f>IF($G621="正常",$H621/60,"")</f>
        <v/>
      </c>
      <c r="J621" s="13">
        <f>IF($G621="正常",ROUND($H621/30,0)/2,"")</f>
        <v/>
      </c>
      <c r="K621" s="13">
        <f>IF($G621="正常",MIN($J621,12),"")</f>
        <v/>
      </c>
      <c r="L621" s="13">
        <f>IF($G621="正常",MAX($J621-12,0),"")</f>
        <v/>
      </c>
    </row>
    <row r="622">
      <c r="A622" s="3" t="inlineStr">
        <is>
          <t>张友群</t>
        </is>
      </c>
      <c r="B622" s="3" t="inlineStr">
        <is>
          <t>8/1</t>
        </is>
      </c>
      <c r="C622" s="3" t="inlineStr">
        <is>
          <t>六</t>
        </is>
      </c>
      <c r="D622" s="3" t="inlineStr">
        <is>
          <t>06:57 18:51</t>
        </is>
      </c>
      <c r="E622" s="4" t="n">
        <v>0.2895833333333334</v>
      </c>
      <c r="F622" s="4" t="n">
        <v>0.7854166666666667</v>
      </c>
      <c r="G622" s="3">
        <f>IF($E622="","空卡",IF($F622="","单卡","正常"))</f>
        <v/>
      </c>
      <c r="H622" s="5">
        <f>IF($G622="正常",ROUND(($F622-$E622)*1440,0),"")</f>
        <v/>
      </c>
      <c r="I622" s="6">
        <f>IF($G622="正常",$H622/60,"")</f>
        <v/>
      </c>
      <c r="J622" s="7">
        <f>IF($G622="正常",ROUND($H622/30,0)/2,"")</f>
        <v/>
      </c>
      <c r="K622" s="7">
        <f>IF($G622="正常",MIN($J622,12),"")</f>
        <v/>
      </c>
      <c r="L622" s="7">
        <f>IF($G622="正常",MAX($J622-12,0),"")</f>
        <v/>
      </c>
    </row>
    <row r="623">
      <c r="A623" s="8" t="inlineStr">
        <is>
          <t>张友群</t>
        </is>
      </c>
      <c r="B623" s="8" t="inlineStr">
        <is>
          <t>8/2</t>
        </is>
      </c>
      <c r="C623" s="8" t="inlineStr">
        <is>
          <t>日</t>
        </is>
      </c>
      <c r="D623" s="8" t="inlineStr">
        <is>
          <t>06:57</t>
        </is>
      </c>
      <c r="E623" s="9" t="n">
        <v>0.2895833333333334</v>
      </c>
      <c r="F623" s="9" t="n"/>
      <c r="G623" s="10">
        <f>IF($E623="","空卡",IF($F623="","单卡","正常"))</f>
        <v/>
      </c>
      <c r="H623" s="11">
        <f>IF($G623="正常",ROUND(($F623-$E623)*1440,0),"")</f>
        <v/>
      </c>
      <c r="I623" s="12">
        <f>IF($G623="正常",$H623/60,"")</f>
        <v/>
      </c>
      <c r="J623" s="13">
        <f>IF($G623="正常",ROUND($H623/30,0)/2,"")</f>
        <v/>
      </c>
      <c r="K623" s="13">
        <f>IF($G623="正常",MIN($J623,12),"")</f>
        <v/>
      </c>
      <c r="L623" s="13">
        <f>IF($G623="正常",MAX($J623-12,0),"")</f>
        <v/>
      </c>
    </row>
    <row r="624">
      <c r="A624" s="8" t="inlineStr">
        <is>
          <t>张友群</t>
        </is>
      </c>
      <c r="B624" s="8" t="inlineStr">
        <is>
          <t>8/3</t>
        </is>
      </c>
      <c r="C624" s="8" t="inlineStr">
        <is>
          <t>一</t>
        </is>
      </c>
      <c r="D624" s="8" t="inlineStr">
        <is>
          <t>07:13</t>
        </is>
      </c>
      <c r="E624" s="9" t="n">
        <v>0.3006944444444444</v>
      </c>
      <c r="F624" s="9" t="n"/>
      <c r="G624" s="10">
        <f>IF($E624="","空卡",IF($F624="","单卡","正常"))</f>
        <v/>
      </c>
      <c r="H624" s="11">
        <f>IF($G624="正常",ROUND(($F624-$E624)*1440,0),"")</f>
        <v/>
      </c>
      <c r="I624" s="12">
        <f>IF($G624="正常",$H624/60,"")</f>
        <v/>
      </c>
      <c r="J624" s="13">
        <f>IF($G624="正常",ROUND($H624/30,0)/2,"")</f>
        <v/>
      </c>
      <c r="K624" s="13">
        <f>IF($G624="正常",MIN($J624,12),"")</f>
        <v/>
      </c>
      <c r="L624" s="13">
        <f>IF($G624="正常",MAX($J624-12,0),"")</f>
        <v/>
      </c>
    </row>
    <row r="625">
      <c r="A625" s="3" t="inlineStr">
        <is>
          <t>张友群</t>
        </is>
      </c>
      <c r="B625" s="3" t="inlineStr">
        <is>
          <t>8/4</t>
        </is>
      </c>
      <c r="C625" s="3" t="inlineStr">
        <is>
          <t>二</t>
        </is>
      </c>
      <c r="D625" s="3" t="inlineStr">
        <is>
          <t>08:52 19:32</t>
        </is>
      </c>
      <c r="E625" s="4" t="n">
        <v>0.3694444444444445</v>
      </c>
      <c r="F625" s="4" t="n">
        <v>0.8138888888888889</v>
      </c>
      <c r="G625" s="3">
        <f>IF($E625="","空卡",IF($F625="","单卡","正常"))</f>
        <v/>
      </c>
      <c r="H625" s="5">
        <f>IF($G625="正常",ROUND(($F625-$E625)*1440,0),"")</f>
        <v/>
      </c>
      <c r="I625" s="6">
        <f>IF($G625="正常",$H625/60,"")</f>
        <v/>
      </c>
      <c r="J625" s="7">
        <f>IF($G625="正常",ROUND($H625/30,0)/2,"")</f>
        <v/>
      </c>
      <c r="K625" s="7">
        <f>IF($G625="正常",MIN($J625,12),"")</f>
        <v/>
      </c>
      <c r="L625" s="7">
        <f>IF($G625="正常",MAX($J625-12,0),"")</f>
        <v/>
      </c>
    </row>
    <row r="626">
      <c r="A626" s="3" t="inlineStr">
        <is>
          <t>张友群</t>
        </is>
      </c>
      <c r="B626" s="3" t="inlineStr">
        <is>
          <t>8/5</t>
        </is>
      </c>
      <c r="C626" s="3" t="inlineStr">
        <is>
          <t>三</t>
        </is>
      </c>
      <c r="D626" s="3" t="inlineStr">
        <is>
          <t>09:43 19:55</t>
        </is>
      </c>
      <c r="E626" s="4" t="n">
        <v>0.4048611111111111</v>
      </c>
      <c r="F626" s="4" t="n">
        <v>0.8298611111111112</v>
      </c>
      <c r="G626" s="3">
        <f>IF($E626="","空卡",IF($F626="","单卡","正常"))</f>
        <v/>
      </c>
      <c r="H626" s="5">
        <f>IF($G626="正常",ROUND(($F626-$E626)*1440,0),"")</f>
        <v/>
      </c>
      <c r="I626" s="6">
        <f>IF($G626="正常",$H626/60,"")</f>
        <v/>
      </c>
      <c r="J626" s="7">
        <f>IF($G626="正常",ROUND($H626/30,0)/2,"")</f>
        <v/>
      </c>
      <c r="K626" s="7">
        <f>IF($G626="正常",MIN($J626,12),"")</f>
        <v/>
      </c>
      <c r="L626" s="7">
        <f>IF($G626="正常",MAX($J626-12,0),"")</f>
        <v/>
      </c>
    </row>
    <row r="627">
      <c r="A627" s="3" t="inlineStr">
        <is>
          <t>张友群</t>
        </is>
      </c>
      <c r="B627" s="3" t="inlineStr">
        <is>
          <t>8/6</t>
        </is>
      </c>
      <c r="C627" s="3" t="inlineStr">
        <is>
          <t>四</t>
        </is>
      </c>
      <c r="D627" s="3" t="inlineStr">
        <is>
          <t>08:53 19:02</t>
        </is>
      </c>
      <c r="E627" s="4" t="n">
        <v>0.3701388888888889</v>
      </c>
      <c r="F627" s="4" t="n">
        <v>0.7930555555555555</v>
      </c>
      <c r="G627" s="3">
        <f>IF($E627="","空卡",IF($F627="","单卡","正常"))</f>
        <v/>
      </c>
      <c r="H627" s="5">
        <f>IF($G627="正常",ROUND(($F627-$E627)*1440,0),"")</f>
        <v/>
      </c>
      <c r="I627" s="6">
        <f>IF($G627="正常",$H627/60,"")</f>
        <v/>
      </c>
      <c r="J627" s="7">
        <f>IF($G627="正常",ROUND($H627/30,0)/2,"")</f>
        <v/>
      </c>
      <c r="K627" s="7">
        <f>IF($G627="正常",MIN($J627,12),"")</f>
        <v/>
      </c>
      <c r="L627" s="7">
        <f>IF($G627="正常",MAX($J627-12,0),"")</f>
        <v/>
      </c>
    </row>
    <row r="628">
      <c r="A628" s="3" t="inlineStr">
        <is>
          <t>张友群</t>
        </is>
      </c>
      <c r="B628" s="3" t="inlineStr">
        <is>
          <t>8/7</t>
        </is>
      </c>
      <c r="C628" s="3" t="inlineStr">
        <is>
          <t>五</t>
        </is>
      </c>
      <c r="D628" s="3" t="inlineStr">
        <is>
          <t>07:58 20:00</t>
        </is>
      </c>
      <c r="E628" s="4" t="n">
        <v>0.3319444444444444</v>
      </c>
      <c r="F628" s="4" t="n">
        <v>0.8333333333333334</v>
      </c>
      <c r="G628" s="3">
        <f>IF($E628="","空卡",IF($F628="","单卡","正常"))</f>
        <v/>
      </c>
      <c r="H628" s="5">
        <f>IF($G628="正常",ROUND(($F628-$E628)*1440,0),"")</f>
        <v/>
      </c>
      <c r="I628" s="6">
        <f>IF($G628="正常",$H628/60,"")</f>
        <v/>
      </c>
      <c r="J628" s="7">
        <f>IF($G628="正常",ROUND($H628/30,0)/2,"")</f>
        <v/>
      </c>
      <c r="K628" s="7">
        <f>IF($G628="正常",MIN($J628,12),"")</f>
        <v/>
      </c>
      <c r="L628" s="7">
        <f>IF($G628="正常",MAX($J628-12,0),"")</f>
        <v/>
      </c>
    </row>
    <row r="629">
      <c r="A629" s="8" t="inlineStr">
        <is>
          <t>张友群</t>
        </is>
      </c>
      <c r="B629" s="8" t="inlineStr">
        <is>
          <t>8/8</t>
        </is>
      </c>
      <c r="C629" s="8" t="inlineStr">
        <is>
          <t>六</t>
        </is>
      </c>
      <c r="D629" s="8" t="inlineStr"/>
      <c r="E629" s="9" t="n"/>
      <c r="F629" s="9" t="n"/>
      <c r="G629" s="10">
        <f>IF($E629="","空卡",IF($F629="","单卡","正常"))</f>
        <v/>
      </c>
      <c r="H629" s="11">
        <f>IF($G629="正常",ROUND(($F629-$E629)*1440,0),"")</f>
        <v/>
      </c>
      <c r="I629" s="12">
        <f>IF($G629="正常",$H629/60,"")</f>
        <v/>
      </c>
      <c r="J629" s="13">
        <f>IF($G629="正常",ROUND($H629/30,0)/2,"")</f>
        <v/>
      </c>
      <c r="K629" s="13">
        <f>IF($G629="正常",MIN($J629,12),"")</f>
        <v/>
      </c>
      <c r="L629" s="13">
        <f>IF($G629="正常",MAX($J629-12,0),"")</f>
        <v/>
      </c>
    </row>
    <row r="630">
      <c r="A630" s="8" t="inlineStr">
        <is>
          <t>张友群</t>
        </is>
      </c>
      <c r="B630" s="8" t="inlineStr">
        <is>
          <t>8/9</t>
        </is>
      </c>
      <c r="C630" s="8" t="inlineStr">
        <is>
          <t>日</t>
        </is>
      </c>
      <c r="D630" s="8" t="inlineStr"/>
      <c r="E630" s="9" t="n"/>
      <c r="F630" s="9" t="n"/>
      <c r="G630" s="10">
        <f>IF($E630="","空卡",IF($F630="","单卡","正常"))</f>
        <v/>
      </c>
      <c r="H630" s="11">
        <f>IF($G630="正常",ROUND(($F630-$E630)*1440,0),"")</f>
        <v/>
      </c>
      <c r="I630" s="12">
        <f>IF($G630="正常",$H630/60,"")</f>
        <v/>
      </c>
      <c r="J630" s="13">
        <f>IF($G630="正常",ROUND($H630/30,0)/2,"")</f>
        <v/>
      </c>
      <c r="K630" s="13">
        <f>IF($G630="正常",MIN($J630,12),"")</f>
        <v/>
      </c>
      <c r="L630" s="13">
        <f>IF($G630="正常",MAX($J630-12,0),"")</f>
        <v/>
      </c>
    </row>
    <row r="631">
      <c r="A631" s="8" t="inlineStr">
        <is>
          <t>张友群</t>
        </is>
      </c>
      <c r="B631" s="8" t="inlineStr">
        <is>
          <t>8/10</t>
        </is>
      </c>
      <c r="C631" s="8" t="inlineStr">
        <is>
          <t>一</t>
        </is>
      </c>
      <c r="D631" s="8" t="inlineStr"/>
      <c r="E631" s="9" t="n"/>
      <c r="F631" s="9" t="n"/>
      <c r="G631" s="10">
        <f>IF($E631="","空卡",IF($F631="","单卡","正常"))</f>
        <v/>
      </c>
      <c r="H631" s="11">
        <f>IF($G631="正常",ROUND(($F631-$E631)*1440,0),"")</f>
        <v/>
      </c>
      <c r="I631" s="12">
        <f>IF($G631="正常",$H631/60,"")</f>
        <v/>
      </c>
      <c r="J631" s="13">
        <f>IF($G631="正常",ROUND($H631/30,0)/2,"")</f>
        <v/>
      </c>
      <c r="K631" s="13">
        <f>IF($G631="正常",MIN($J631,12),"")</f>
        <v/>
      </c>
      <c r="L631" s="13">
        <f>IF($G631="正常",MAX($J631-12,0),"")</f>
        <v/>
      </c>
    </row>
    <row r="632">
      <c r="A632" s="8" t="inlineStr">
        <is>
          <t>张友群</t>
        </is>
      </c>
      <c r="B632" s="8" t="inlineStr">
        <is>
          <t>8/11</t>
        </is>
      </c>
      <c r="C632" s="8" t="inlineStr">
        <is>
          <t>二</t>
        </is>
      </c>
      <c r="D632" s="8" t="inlineStr"/>
      <c r="E632" s="9" t="n"/>
      <c r="F632" s="9" t="n"/>
      <c r="G632" s="10">
        <f>IF($E632="","空卡",IF($F632="","单卡","正常"))</f>
        <v/>
      </c>
      <c r="H632" s="11">
        <f>IF($G632="正常",ROUND(($F632-$E632)*1440,0),"")</f>
        <v/>
      </c>
      <c r="I632" s="12">
        <f>IF($G632="正常",$H632/60,"")</f>
        <v/>
      </c>
      <c r="J632" s="13">
        <f>IF($G632="正常",ROUND($H632/30,0)/2,"")</f>
        <v/>
      </c>
      <c r="K632" s="13">
        <f>IF($G632="正常",MIN($J632,12),"")</f>
        <v/>
      </c>
      <c r="L632" s="13">
        <f>IF($G632="正常",MAX($J632-12,0),"")</f>
        <v/>
      </c>
    </row>
    <row r="633">
      <c r="A633" s="8" t="inlineStr">
        <is>
          <t>张友群</t>
        </is>
      </c>
      <c r="B633" s="8" t="inlineStr">
        <is>
          <t>8/12</t>
        </is>
      </c>
      <c r="C633" s="8" t="inlineStr">
        <is>
          <t>三</t>
        </is>
      </c>
      <c r="D633" s="8" t="inlineStr"/>
      <c r="E633" s="9" t="n"/>
      <c r="F633" s="9" t="n"/>
      <c r="G633" s="10">
        <f>IF($E633="","空卡",IF($F633="","单卡","正常"))</f>
        <v/>
      </c>
      <c r="H633" s="11">
        <f>IF($G633="正常",ROUND(($F633-$E633)*1440,0),"")</f>
        <v/>
      </c>
      <c r="I633" s="12">
        <f>IF($G633="正常",$H633/60,"")</f>
        <v/>
      </c>
      <c r="J633" s="13">
        <f>IF($G633="正常",ROUND($H633/30,0)/2,"")</f>
        <v/>
      </c>
      <c r="K633" s="13">
        <f>IF($G633="正常",MIN($J633,12),"")</f>
        <v/>
      </c>
      <c r="L633" s="13">
        <f>IF($G633="正常",MAX($J633-12,0),"")</f>
        <v/>
      </c>
    </row>
    <row r="634">
      <c r="A634" s="8" t="inlineStr">
        <is>
          <t>张友群</t>
        </is>
      </c>
      <c r="B634" s="8" t="inlineStr">
        <is>
          <t>8/13</t>
        </is>
      </c>
      <c r="C634" s="8" t="inlineStr">
        <is>
          <t>四</t>
        </is>
      </c>
      <c r="D634" s="8" t="inlineStr"/>
      <c r="E634" s="9" t="n"/>
      <c r="F634" s="9" t="n"/>
      <c r="G634" s="10">
        <f>IF($E634="","空卡",IF($F634="","单卡","正常"))</f>
        <v/>
      </c>
      <c r="H634" s="11">
        <f>IF($G634="正常",ROUND(($F634-$E634)*1440,0),"")</f>
        <v/>
      </c>
      <c r="I634" s="12">
        <f>IF($G634="正常",$H634/60,"")</f>
        <v/>
      </c>
      <c r="J634" s="13">
        <f>IF($G634="正常",ROUND($H634/30,0)/2,"")</f>
        <v/>
      </c>
      <c r="K634" s="13">
        <f>IF($G634="正常",MIN($J634,12),"")</f>
        <v/>
      </c>
      <c r="L634" s="13">
        <f>IF($G634="正常",MAX($J634-12,0),"")</f>
        <v/>
      </c>
    </row>
    <row r="635">
      <c r="A635" s="8" t="inlineStr">
        <is>
          <t>张友群</t>
        </is>
      </c>
      <c r="B635" s="8" t="inlineStr">
        <is>
          <t>8/14</t>
        </is>
      </c>
      <c r="C635" s="8" t="inlineStr">
        <is>
          <t>五</t>
        </is>
      </c>
      <c r="D635" s="8" t="inlineStr"/>
      <c r="E635" s="9" t="n"/>
      <c r="F635" s="9" t="n"/>
      <c r="G635" s="10">
        <f>IF($E635="","空卡",IF($F635="","单卡","正常"))</f>
        <v/>
      </c>
      <c r="H635" s="11">
        <f>IF($G635="正常",ROUND(($F635-$E635)*1440,0),"")</f>
        <v/>
      </c>
      <c r="I635" s="12">
        <f>IF($G635="正常",$H635/60,"")</f>
        <v/>
      </c>
      <c r="J635" s="13">
        <f>IF($G635="正常",ROUND($H635/30,0)/2,"")</f>
        <v/>
      </c>
      <c r="K635" s="13">
        <f>IF($G635="正常",MIN($J635,12),"")</f>
        <v/>
      </c>
      <c r="L635" s="13">
        <f>IF($G635="正常",MAX($J635-12,0),"")</f>
        <v/>
      </c>
    </row>
    <row r="636">
      <c r="A636" s="3" t="inlineStr">
        <is>
          <t>张友群</t>
        </is>
      </c>
      <c r="B636" s="3" t="inlineStr">
        <is>
          <t>8/15</t>
        </is>
      </c>
      <c r="C636" s="3" t="inlineStr">
        <is>
          <t>六</t>
        </is>
      </c>
      <c r="D636" s="3" t="inlineStr">
        <is>
          <t>09:58 19:01</t>
        </is>
      </c>
      <c r="E636" s="4" t="n">
        <v>0.4152777777777778</v>
      </c>
      <c r="F636" s="4" t="n">
        <v>0.7923611111111111</v>
      </c>
      <c r="G636" s="3">
        <f>IF($E636="","空卡",IF($F636="","单卡","正常"))</f>
        <v/>
      </c>
      <c r="H636" s="5">
        <f>IF($G636="正常",ROUND(($F636-$E636)*1440,0),"")</f>
        <v/>
      </c>
      <c r="I636" s="6">
        <f>IF($G636="正常",$H636/60,"")</f>
        <v/>
      </c>
      <c r="J636" s="7">
        <f>IF($G636="正常",ROUND($H636/30,0)/2,"")</f>
        <v/>
      </c>
      <c r="K636" s="7">
        <f>IF($G636="正常",MIN($J636,12),"")</f>
        <v/>
      </c>
      <c r="L636" s="7">
        <f>IF($G636="正常",MAX($J636-12,0),"")</f>
        <v/>
      </c>
    </row>
    <row r="637">
      <c r="A637" s="3" t="inlineStr">
        <is>
          <t>张友群</t>
        </is>
      </c>
      <c r="B637" s="3" t="inlineStr">
        <is>
          <t>8/16</t>
        </is>
      </c>
      <c r="C637" s="3" t="inlineStr">
        <is>
          <t>日</t>
        </is>
      </c>
      <c r="D637" s="3" t="inlineStr">
        <is>
          <t>08:04 19:39</t>
        </is>
      </c>
      <c r="E637" s="4" t="n">
        <v>0.3361111111111111</v>
      </c>
      <c r="F637" s="4" t="n">
        <v>0.81875</v>
      </c>
      <c r="G637" s="3">
        <f>IF($E637="","空卡",IF($F637="","单卡","正常"))</f>
        <v/>
      </c>
      <c r="H637" s="5">
        <f>IF($G637="正常",ROUND(($F637-$E637)*1440,0),"")</f>
        <v/>
      </c>
      <c r="I637" s="6">
        <f>IF($G637="正常",$H637/60,"")</f>
        <v/>
      </c>
      <c r="J637" s="7">
        <f>IF($G637="正常",ROUND($H637/30,0)/2,"")</f>
        <v/>
      </c>
      <c r="K637" s="7">
        <f>IF($G637="正常",MIN($J637,12),"")</f>
        <v/>
      </c>
      <c r="L637" s="7">
        <f>IF($G637="正常",MAX($J637-12,0),"")</f>
        <v/>
      </c>
    </row>
    <row r="638">
      <c r="A638" s="3" t="inlineStr">
        <is>
          <t>张友群</t>
        </is>
      </c>
      <c r="B638" s="3" t="inlineStr">
        <is>
          <t>8/17</t>
        </is>
      </c>
      <c r="C638" s="3" t="inlineStr">
        <is>
          <t>一</t>
        </is>
      </c>
      <c r="D638" s="3" t="inlineStr">
        <is>
          <t>07:56 19:56</t>
        </is>
      </c>
      <c r="E638" s="4" t="n">
        <v>0.3305555555555555</v>
      </c>
      <c r="F638" s="4" t="n">
        <v>0.8305555555555556</v>
      </c>
      <c r="G638" s="3">
        <f>IF($E638="","空卡",IF($F638="","单卡","正常"))</f>
        <v/>
      </c>
      <c r="H638" s="5">
        <f>IF($G638="正常",ROUND(($F638-$E638)*1440,0),"")</f>
        <v/>
      </c>
      <c r="I638" s="6">
        <f>IF($G638="正常",$H638/60,"")</f>
        <v/>
      </c>
      <c r="J638" s="7">
        <f>IF($G638="正常",ROUND($H638/30,0)/2,"")</f>
        <v/>
      </c>
      <c r="K638" s="7">
        <f>IF($G638="正常",MIN($J638,12),"")</f>
        <v/>
      </c>
      <c r="L638" s="7">
        <f>IF($G638="正常",MAX($J638-12,0),"")</f>
        <v/>
      </c>
    </row>
    <row r="639">
      <c r="A639" s="3" t="inlineStr">
        <is>
          <t>张友群</t>
        </is>
      </c>
      <c r="B639" s="3" t="inlineStr">
        <is>
          <t>8/18</t>
        </is>
      </c>
      <c r="C639" s="3" t="inlineStr">
        <is>
          <t>二</t>
        </is>
      </c>
      <c r="D639" s="3" t="inlineStr">
        <is>
          <t>07:58 19:36</t>
        </is>
      </c>
      <c r="E639" s="4" t="n">
        <v>0.3319444444444444</v>
      </c>
      <c r="F639" s="4" t="n">
        <v>0.8166666666666667</v>
      </c>
      <c r="G639" s="3">
        <f>IF($E639="","空卡",IF($F639="","单卡","正常"))</f>
        <v/>
      </c>
      <c r="H639" s="5">
        <f>IF($G639="正常",ROUND(($F639-$E639)*1440,0),"")</f>
        <v/>
      </c>
      <c r="I639" s="6">
        <f>IF($G639="正常",$H639/60,"")</f>
        <v/>
      </c>
      <c r="J639" s="7">
        <f>IF($G639="正常",ROUND($H639/30,0)/2,"")</f>
        <v/>
      </c>
      <c r="K639" s="7">
        <f>IF($G639="正常",MIN($J639,12),"")</f>
        <v/>
      </c>
      <c r="L639" s="7">
        <f>IF($G639="正常",MAX($J639-12,0),"")</f>
        <v/>
      </c>
    </row>
    <row r="640">
      <c r="A640" s="3" t="inlineStr">
        <is>
          <t>张友群</t>
        </is>
      </c>
      <c r="B640" s="3" t="inlineStr">
        <is>
          <t>8/19</t>
        </is>
      </c>
      <c r="C640" s="3" t="inlineStr">
        <is>
          <t>三</t>
        </is>
      </c>
      <c r="D640" s="3" t="inlineStr">
        <is>
          <t>07:26 20:31</t>
        </is>
      </c>
      <c r="E640" s="4" t="n">
        <v>0.3097222222222222</v>
      </c>
      <c r="F640" s="4" t="n">
        <v>0.8548611111111111</v>
      </c>
      <c r="G640" s="3">
        <f>IF($E640="","空卡",IF($F640="","单卡","正常"))</f>
        <v/>
      </c>
      <c r="H640" s="5">
        <f>IF($G640="正常",ROUND(($F640-$E640)*1440,0),"")</f>
        <v/>
      </c>
      <c r="I640" s="6">
        <f>IF($G640="正常",$H640/60,"")</f>
        <v/>
      </c>
      <c r="J640" s="7">
        <f>IF($G640="正常",ROUND($H640/30,0)/2,"")</f>
        <v/>
      </c>
      <c r="K640" s="7">
        <f>IF($G640="正常",MIN($J640,12),"")</f>
        <v/>
      </c>
      <c r="L640" s="7">
        <f>IF($G640="正常",MAX($J640-12,0),"")</f>
        <v/>
      </c>
    </row>
    <row r="641">
      <c r="A641" s="3" t="inlineStr">
        <is>
          <t>张友群</t>
        </is>
      </c>
      <c r="B641" s="3" t="inlineStr">
        <is>
          <t>8/20</t>
        </is>
      </c>
      <c r="C641" s="3" t="inlineStr">
        <is>
          <t>四</t>
        </is>
      </c>
      <c r="D641" s="3" t="inlineStr">
        <is>
          <t>07:29 20:00</t>
        </is>
      </c>
      <c r="E641" s="4" t="n">
        <v>0.3118055555555556</v>
      </c>
      <c r="F641" s="4" t="n">
        <v>0.8333333333333334</v>
      </c>
      <c r="G641" s="3">
        <f>IF($E641="","空卡",IF($F641="","单卡","正常"))</f>
        <v/>
      </c>
      <c r="H641" s="5">
        <f>IF($G641="正常",ROUND(($F641-$E641)*1440,0),"")</f>
        <v/>
      </c>
      <c r="I641" s="6">
        <f>IF($G641="正常",$H641/60,"")</f>
        <v/>
      </c>
      <c r="J641" s="7">
        <f>IF($G641="正常",ROUND($H641/30,0)/2,"")</f>
        <v/>
      </c>
      <c r="K641" s="7">
        <f>IF($G641="正常",MIN($J641,12),"")</f>
        <v/>
      </c>
      <c r="L641" s="7">
        <f>IF($G641="正常",MAX($J641-12,0),"")</f>
        <v/>
      </c>
    </row>
    <row r="642">
      <c r="A642" s="3" t="inlineStr">
        <is>
          <t>张友群</t>
        </is>
      </c>
      <c r="B642" s="3" t="inlineStr">
        <is>
          <t>8/21</t>
        </is>
      </c>
      <c r="C642" s="3" t="inlineStr">
        <is>
          <t>五</t>
        </is>
      </c>
      <c r="D642" s="3" t="inlineStr">
        <is>
          <t>06:36 20:03</t>
        </is>
      </c>
      <c r="E642" s="4" t="n">
        <v>0.275</v>
      </c>
      <c r="F642" s="4" t="n">
        <v>0.8354166666666667</v>
      </c>
      <c r="G642" s="3">
        <f>IF($E642="","空卡",IF($F642="","单卡","正常"))</f>
        <v/>
      </c>
      <c r="H642" s="5">
        <f>IF($G642="正常",ROUND(($F642-$E642)*1440,0),"")</f>
        <v/>
      </c>
      <c r="I642" s="6">
        <f>IF($G642="正常",$H642/60,"")</f>
        <v/>
      </c>
      <c r="J642" s="7">
        <f>IF($G642="正常",ROUND($H642/30,0)/2,"")</f>
        <v/>
      </c>
      <c r="K642" s="7">
        <f>IF($G642="正常",MIN($J642,12),"")</f>
        <v/>
      </c>
      <c r="L642" s="7">
        <f>IF($G642="正常",MAX($J642-12,0),"")</f>
        <v/>
      </c>
    </row>
    <row r="643">
      <c r="A643" s="3" t="inlineStr">
        <is>
          <t>张友群</t>
        </is>
      </c>
      <c r="B643" s="3" t="inlineStr">
        <is>
          <t>8/22</t>
        </is>
      </c>
      <c r="C643" s="3" t="inlineStr">
        <is>
          <t>六</t>
        </is>
      </c>
      <c r="D643" s="3" t="inlineStr">
        <is>
          <t>06:30 19:18</t>
        </is>
      </c>
      <c r="E643" s="4" t="n">
        <v>0.2708333333333333</v>
      </c>
      <c r="F643" s="4" t="n">
        <v>0.8041666666666667</v>
      </c>
      <c r="G643" s="3">
        <f>IF($E643="","空卡",IF($F643="","单卡","正常"))</f>
        <v/>
      </c>
      <c r="H643" s="5">
        <f>IF($G643="正常",ROUND(($F643-$E643)*1440,0),"")</f>
        <v/>
      </c>
      <c r="I643" s="6">
        <f>IF($G643="正常",$H643/60,"")</f>
        <v/>
      </c>
      <c r="J643" s="7">
        <f>IF($G643="正常",ROUND($H643/30,0)/2,"")</f>
        <v/>
      </c>
      <c r="K643" s="7">
        <f>IF($G643="正常",MIN($J643,12),"")</f>
        <v/>
      </c>
      <c r="L643" s="7">
        <f>IF($G643="正常",MAX($J643-12,0),"")</f>
        <v/>
      </c>
    </row>
    <row r="644">
      <c r="A644" s="3" t="inlineStr">
        <is>
          <t>张友群</t>
        </is>
      </c>
      <c r="B644" s="3" t="inlineStr">
        <is>
          <t>8/23</t>
        </is>
      </c>
      <c r="C644" s="3" t="inlineStr">
        <is>
          <t>日</t>
        </is>
      </c>
      <c r="D644" s="3" t="inlineStr">
        <is>
          <t>06:56 19:10</t>
        </is>
      </c>
      <c r="E644" s="4" t="n">
        <v>0.2888888888888889</v>
      </c>
      <c r="F644" s="4" t="n">
        <v>0.7986111111111112</v>
      </c>
      <c r="G644" s="3">
        <f>IF($E644="","空卡",IF($F644="","单卡","正常"))</f>
        <v/>
      </c>
      <c r="H644" s="5">
        <f>IF($G644="正常",ROUND(($F644-$E644)*1440,0),"")</f>
        <v/>
      </c>
      <c r="I644" s="6">
        <f>IF($G644="正常",$H644/60,"")</f>
        <v/>
      </c>
      <c r="J644" s="7">
        <f>IF($G644="正常",ROUND($H644/30,0)/2,"")</f>
        <v/>
      </c>
      <c r="K644" s="7">
        <f>IF($G644="正常",MIN($J644,12),"")</f>
        <v/>
      </c>
      <c r="L644" s="7">
        <f>IF($G644="正常",MAX($J644-12,0),"")</f>
        <v/>
      </c>
    </row>
    <row r="645">
      <c r="A645" s="3" t="inlineStr">
        <is>
          <t>张友群</t>
        </is>
      </c>
      <c r="B645" s="3" t="inlineStr">
        <is>
          <t>8/24</t>
        </is>
      </c>
      <c r="C645" s="3" t="inlineStr">
        <is>
          <t>一</t>
        </is>
      </c>
      <c r="D645" s="3" t="inlineStr">
        <is>
          <t>06:47 17:57</t>
        </is>
      </c>
      <c r="E645" s="4" t="n">
        <v>0.2826388888888889</v>
      </c>
      <c r="F645" s="4" t="n">
        <v>0.7479166666666667</v>
      </c>
      <c r="G645" s="3">
        <f>IF($E645="","空卡",IF($F645="","单卡","正常"))</f>
        <v/>
      </c>
      <c r="H645" s="5">
        <f>IF($G645="正常",ROUND(($F645-$E645)*1440,0),"")</f>
        <v/>
      </c>
      <c r="I645" s="6">
        <f>IF($G645="正常",$H645/60,"")</f>
        <v/>
      </c>
      <c r="J645" s="7">
        <f>IF($G645="正常",ROUND($H645/30,0)/2,"")</f>
        <v/>
      </c>
      <c r="K645" s="7">
        <f>IF($G645="正常",MIN($J645,12),"")</f>
        <v/>
      </c>
      <c r="L645" s="7">
        <f>IF($G645="正常",MAX($J645-12,0),"")</f>
        <v/>
      </c>
    </row>
    <row r="646">
      <c r="A646" s="3" t="inlineStr">
        <is>
          <t>张友群</t>
        </is>
      </c>
      <c r="B646" s="3" t="inlineStr">
        <is>
          <t>8/25</t>
        </is>
      </c>
      <c r="C646" s="3" t="inlineStr">
        <is>
          <t>二</t>
        </is>
      </c>
      <c r="D646" s="3" t="inlineStr">
        <is>
          <t>07:11 19:38</t>
        </is>
      </c>
      <c r="E646" s="4" t="n">
        <v>0.2993055555555555</v>
      </c>
      <c r="F646" s="4" t="n">
        <v>0.8180555555555555</v>
      </c>
      <c r="G646" s="3">
        <f>IF($E646="","空卡",IF($F646="","单卡","正常"))</f>
        <v/>
      </c>
      <c r="H646" s="5">
        <f>IF($G646="正常",ROUND(($F646-$E646)*1440,0),"")</f>
        <v/>
      </c>
      <c r="I646" s="6">
        <f>IF($G646="正常",$H646/60,"")</f>
        <v/>
      </c>
      <c r="J646" s="7">
        <f>IF($G646="正常",ROUND($H646/30,0)/2,"")</f>
        <v/>
      </c>
      <c r="K646" s="7">
        <f>IF($G646="正常",MIN($J646,12),"")</f>
        <v/>
      </c>
      <c r="L646" s="7">
        <f>IF($G646="正常",MAX($J646-12,0),"")</f>
        <v/>
      </c>
    </row>
    <row r="647">
      <c r="A647" s="3" t="inlineStr">
        <is>
          <t>张友群</t>
        </is>
      </c>
      <c r="B647" s="3" t="inlineStr">
        <is>
          <t>8/26</t>
        </is>
      </c>
      <c r="C647" s="3" t="inlineStr">
        <is>
          <t>三</t>
        </is>
      </c>
      <c r="D647" s="3" t="inlineStr">
        <is>
          <t>07:33 20:02</t>
        </is>
      </c>
      <c r="E647" s="4" t="n">
        <v>0.3145833333333333</v>
      </c>
      <c r="F647" s="4" t="n">
        <v>0.8347222222222223</v>
      </c>
      <c r="G647" s="3">
        <f>IF($E647="","空卡",IF($F647="","单卡","正常"))</f>
        <v/>
      </c>
      <c r="H647" s="5">
        <f>IF($G647="正常",ROUND(($F647-$E647)*1440,0),"")</f>
        <v/>
      </c>
      <c r="I647" s="6">
        <f>IF($G647="正常",$H647/60,"")</f>
        <v/>
      </c>
      <c r="J647" s="7">
        <f>IF($G647="正常",ROUND($H647/30,0)/2,"")</f>
        <v/>
      </c>
      <c r="K647" s="7">
        <f>IF($G647="正常",MIN($J647,12),"")</f>
        <v/>
      </c>
      <c r="L647" s="7">
        <f>IF($G647="正常",MAX($J647-12,0),"")</f>
        <v/>
      </c>
    </row>
    <row r="648">
      <c r="A648" s="3" t="inlineStr">
        <is>
          <t>张友群</t>
        </is>
      </c>
      <c r="B648" s="3" t="inlineStr">
        <is>
          <t>8/27</t>
        </is>
      </c>
      <c r="C648" s="3" t="inlineStr">
        <is>
          <t>四</t>
        </is>
      </c>
      <c r="D648" s="3" t="inlineStr">
        <is>
          <t>07:21 20:17</t>
        </is>
      </c>
      <c r="E648" s="4" t="n">
        <v>0.30625</v>
      </c>
      <c r="F648" s="4" t="n">
        <v>0.8451388888888889</v>
      </c>
      <c r="G648" s="3">
        <f>IF($E648="","空卡",IF($F648="","单卡","正常"))</f>
        <v/>
      </c>
      <c r="H648" s="5">
        <f>IF($G648="正常",ROUND(($F648-$E648)*1440,0),"")</f>
        <v/>
      </c>
      <c r="I648" s="6">
        <f>IF($G648="正常",$H648/60,"")</f>
        <v/>
      </c>
      <c r="J648" s="7">
        <f>IF($G648="正常",ROUND($H648/30,0)/2,"")</f>
        <v/>
      </c>
      <c r="K648" s="7">
        <f>IF($G648="正常",MIN($J648,12),"")</f>
        <v/>
      </c>
      <c r="L648" s="7">
        <f>IF($G648="正常",MAX($J648-12,0),"")</f>
        <v/>
      </c>
    </row>
    <row r="649">
      <c r="A649" s="3" t="inlineStr">
        <is>
          <t>张友群</t>
        </is>
      </c>
      <c r="B649" s="3" t="inlineStr">
        <is>
          <t>8/28</t>
        </is>
      </c>
      <c r="C649" s="3" t="inlineStr">
        <is>
          <t>五</t>
        </is>
      </c>
      <c r="D649" s="3" t="inlineStr">
        <is>
          <t>07:43 19:37</t>
        </is>
      </c>
      <c r="E649" s="4" t="n">
        <v>0.3215277777777778</v>
      </c>
      <c r="F649" s="4" t="n">
        <v>0.8173611111111111</v>
      </c>
      <c r="G649" s="3">
        <f>IF($E649="","空卡",IF($F649="","单卡","正常"))</f>
        <v/>
      </c>
      <c r="H649" s="5">
        <f>IF($G649="正常",ROUND(($F649-$E649)*1440,0),"")</f>
        <v/>
      </c>
      <c r="I649" s="6">
        <f>IF($G649="正常",$H649/60,"")</f>
        <v/>
      </c>
      <c r="J649" s="7">
        <f>IF($G649="正常",ROUND($H649/30,0)/2,"")</f>
        <v/>
      </c>
      <c r="K649" s="7">
        <f>IF($G649="正常",MIN($J649,12),"")</f>
        <v/>
      </c>
      <c r="L649" s="7">
        <f>IF($G649="正常",MAX($J649-12,0),"")</f>
        <v/>
      </c>
    </row>
    <row r="650">
      <c r="A650" s="8" t="inlineStr">
        <is>
          <t>张友群</t>
        </is>
      </c>
      <c r="B650" s="8" t="inlineStr">
        <is>
          <t>8/29</t>
        </is>
      </c>
      <c r="C650" s="8" t="inlineStr">
        <is>
          <t>六</t>
        </is>
      </c>
      <c r="D650" s="8" t="inlineStr">
        <is>
          <t>07:27</t>
        </is>
      </c>
      <c r="E650" s="9" t="n">
        <v>0.3104166666666667</v>
      </c>
      <c r="F650" s="9" t="n"/>
      <c r="G650" s="10">
        <f>IF($E650="","空卡",IF($F650="","单卡","正常"))</f>
        <v/>
      </c>
      <c r="H650" s="11">
        <f>IF($G650="正常",ROUND(($F650-$E650)*1440,0),"")</f>
        <v/>
      </c>
      <c r="I650" s="12">
        <f>IF($G650="正常",$H650/60,"")</f>
        <v/>
      </c>
      <c r="J650" s="13">
        <f>IF($G650="正常",ROUND($H650/30,0)/2,"")</f>
        <v/>
      </c>
      <c r="K650" s="13">
        <f>IF($G650="正常",MIN($J650,12),"")</f>
        <v/>
      </c>
      <c r="L650" s="13">
        <f>IF($G650="正常",MAX($J650-12,0),"")</f>
        <v/>
      </c>
    </row>
    <row r="651">
      <c r="A651" s="3" t="inlineStr">
        <is>
          <t>张友群</t>
        </is>
      </c>
      <c r="B651" s="3" t="inlineStr">
        <is>
          <t>8/30</t>
        </is>
      </c>
      <c r="C651" s="3" t="inlineStr">
        <is>
          <t>日</t>
        </is>
      </c>
      <c r="D651" s="3" t="inlineStr">
        <is>
          <t>07:33 19:42</t>
        </is>
      </c>
      <c r="E651" s="4" t="n">
        <v>0.3145833333333333</v>
      </c>
      <c r="F651" s="4" t="n">
        <v>0.8208333333333333</v>
      </c>
      <c r="G651" s="3">
        <f>IF($E651="","空卡",IF($F651="","单卡","正常"))</f>
        <v/>
      </c>
      <c r="H651" s="5">
        <f>IF($G651="正常",ROUND(($F651-$E651)*1440,0),"")</f>
        <v/>
      </c>
      <c r="I651" s="6">
        <f>IF($G651="正常",$H651/60,"")</f>
        <v/>
      </c>
      <c r="J651" s="7">
        <f>IF($G651="正常",ROUND($H651/30,0)/2,"")</f>
        <v/>
      </c>
      <c r="K651" s="7">
        <f>IF($G651="正常",MIN($J651,12),"")</f>
        <v/>
      </c>
      <c r="L651" s="7">
        <f>IF($G651="正常",MAX($J651-12,0),"")</f>
        <v/>
      </c>
    </row>
    <row r="652">
      <c r="A652" s="8" t="inlineStr">
        <is>
          <t>张友群</t>
        </is>
      </c>
      <c r="B652" s="8" t="inlineStr">
        <is>
          <t>8/31</t>
        </is>
      </c>
      <c r="C652" s="8" t="inlineStr">
        <is>
          <t>一</t>
        </is>
      </c>
      <c r="D652" s="8" t="inlineStr"/>
      <c r="E652" s="9" t="n"/>
      <c r="F652" s="9" t="n"/>
      <c r="G652" s="10">
        <f>IF($E652="","空卡",IF($F652="","单卡","正常"))</f>
        <v/>
      </c>
      <c r="H652" s="11">
        <f>IF($G652="正常",ROUND(($F652-$E652)*1440,0),"")</f>
        <v/>
      </c>
      <c r="I652" s="12">
        <f>IF($G652="正常",$H652/60,"")</f>
        <v/>
      </c>
      <c r="J652" s="13">
        <f>IF($G652="正常",ROUND($H652/30,0)/2,"")</f>
        <v/>
      </c>
      <c r="K652" s="13">
        <f>IF($G652="正常",MIN($J652,12),"")</f>
        <v/>
      </c>
      <c r="L652" s="13">
        <f>IF($G652="正常",MAX($J652-12,0),"")</f>
        <v/>
      </c>
    </row>
    <row r="653">
      <c r="A653" s="3" t="inlineStr">
        <is>
          <t>王中会</t>
        </is>
      </c>
      <c r="B653" s="3" t="inlineStr">
        <is>
          <t>8/1</t>
        </is>
      </c>
      <c r="C653" s="3" t="inlineStr">
        <is>
          <t>六</t>
        </is>
      </c>
      <c r="D653" s="3" t="inlineStr">
        <is>
          <t>07:56 17:01</t>
        </is>
      </c>
      <c r="E653" s="4" t="n">
        <v>0.3305555555555555</v>
      </c>
      <c r="F653" s="4" t="n">
        <v>0.7090277777777778</v>
      </c>
      <c r="G653" s="3">
        <f>IF($E653="","空卡",IF($F653="","单卡","正常"))</f>
        <v/>
      </c>
      <c r="H653" s="5">
        <f>IF($G653="正常",ROUND(($F653-$E653)*1440,0),"")</f>
        <v/>
      </c>
      <c r="I653" s="6">
        <f>IF($G653="正常",$H653/60,"")</f>
        <v/>
      </c>
      <c r="J653" s="7">
        <f>IF($G653="正常",ROUND($H653/30,0)/2,"")</f>
        <v/>
      </c>
      <c r="K653" s="7">
        <f>IF($G653="正常",MIN($J653,12),"")</f>
        <v/>
      </c>
      <c r="L653" s="7">
        <f>IF($G653="正常",MAX($J653-12,0),"")</f>
        <v/>
      </c>
    </row>
    <row r="654">
      <c r="A654" s="3" t="inlineStr">
        <is>
          <t>王中会</t>
        </is>
      </c>
      <c r="B654" s="3" t="inlineStr">
        <is>
          <t>8/2</t>
        </is>
      </c>
      <c r="C654" s="3" t="inlineStr">
        <is>
          <t>日</t>
        </is>
      </c>
      <c r="D654" s="3" t="inlineStr">
        <is>
          <t>07:55 15:01</t>
        </is>
      </c>
      <c r="E654" s="4" t="n">
        <v>0.3298611111111111</v>
      </c>
      <c r="F654" s="4" t="n">
        <v>0.6256944444444444</v>
      </c>
      <c r="G654" s="3">
        <f>IF($E654="","空卡",IF($F654="","单卡","正常"))</f>
        <v/>
      </c>
      <c r="H654" s="5">
        <f>IF($G654="正常",ROUND(($F654-$E654)*1440,0),"")</f>
        <v/>
      </c>
      <c r="I654" s="6">
        <f>IF($G654="正常",$H654/60,"")</f>
        <v/>
      </c>
      <c r="J654" s="7">
        <f>IF($G654="正常",ROUND($H654/30,0)/2,"")</f>
        <v/>
      </c>
      <c r="K654" s="7">
        <f>IF($G654="正常",MIN($J654,12),"")</f>
        <v/>
      </c>
      <c r="L654" s="7">
        <f>IF($G654="正常",MAX($J654-12,0),"")</f>
        <v/>
      </c>
    </row>
    <row r="655">
      <c r="A655" s="3" t="inlineStr">
        <is>
          <t>王中会</t>
        </is>
      </c>
      <c r="B655" s="3" t="inlineStr">
        <is>
          <t>8/3</t>
        </is>
      </c>
      <c r="C655" s="3" t="inlineStr">
        <is>
          <t>一</t>
        </is>
      </c>
      <c r="D655" s="3" t="inlineStr">
        <is>
          <t>08:26 15:36</t>
        </is>
      </c>
      <c r="E655" s="4" t="n">
        <v>0.3513888888888889</v>
      </c>
      <c r="F655" s="4" t="n">
        <v>0.65</v>
      </c>
      <c r="G655" s="3">
        <f>IF($E655="","空卡",IF($F655="","单卡","正常"))</f>
        <v/>
      </c>
      <c r="H655" s="5">
        <f>IF($G655="正常",ROUND(($F655-$E655)*1440,0),"")</f>
        <v/>
      </c>
      <c r="I655" s="6">
        <f>IF($G655="正常",$H655/60,"")</f>
        <v/>
      </c>
      <c r="J655" s="7">
        <f>IF($G655="正常",ROUND($H655/30,0)/2,"")</f>
        <v/>
      </c>
      <c r="K655" s="7">
        <f>IF($G655="正常",MIN($J655,12),"")</f>
        <v/>
      </c>
      <c r="L655" s="7">
        <f>IF($G655="正常",MAX($J655-12,0),"")</f>
        <v/>
      </c>
    </row>
    <row r="656">
      <c r="A656" s="3" t="inlineStr">
        <is>
          <t>王中会</t>
        </is>
      </c>
      <c r="B656" s="3" t="inlineStr">
        <is>
          <t>8/4</t>
        </is>
      </c>
      <c r="C656" s="3" t="inlineStr">
        <is>
          <t>二</t>
        </is>
      </c>
      <c r="D656" s="3" t="inlineStr">
        <is>
          <t>08:48 20:00</t>
        </is>
      </c>
      <c r="E656" s="4" t="n">
        <v>0.3666666666666666</v>
      </c>
      <c r="F656" s="4" t="n">
        <v>0.8333333333333334</v>
      </c>
      <c r="G656" s="3">
        <f>IF($E656="","空卡",IF($F656="","单卡","正常"))</f>
        <v/>
      </c>
      <c r="H656" s="5">
        <f>IF($G656="正常",ROUND(($F656-$E656)*1440,0),"")</f>
        <v/>
      </c>
      <c r="I656" s="6">
        <f>IF($G656="正常",$H656/60,"")</f>
        <v/>
      </c>
      <c r="J656" s="7">
        <f>IF($G656="正常",ROUND($H656/30,0)/2,"")</f>
        <v/>
      </c>
      <c r="K656" s="7">
        <f>IF($G656="正常",MIN($J656,12),"")</f>
        <v/>
      </c>
      <c r="L656" s="7">
        <f>IF($G656="正常",MAX($J656-12,0),"")</f>
        <v/>
      </c>
    </row>
    <row r="657">
      <c r="A657" s="3" t="inlineStr">
        <is>
          <t>王中会</t>
        </is>
      </c>
      <c r="B657" s="3" t="inlineStr">
        <is>
          <t>8/5</t>
        </is>
      </c>
      <c r="C657" s="3" t="inlineStr">
        <is>
          <t>三</t>
        </is>
      </c>
      <c r="D657" s="3" t="inlineStr">
        <is>
          <t>09:48 19:56</t>
        </is>
      </c>
      <c r="E657" s="4" t="n">
        <v>0.4083333333333333</v>
      </c>
      <c r="F657" s="4" t="n">
        <v>0.8305555555555556</v>
      </c>
      <c r="G657" s="3">
        <f>IF($E657="","空卡",IF($F657="","单卡","正常"))</f>
        <v/>
      </c>
      <c r="H657" s="5">
        <f>IF($G657="正常",ROUND(($F657-$E657)*1440,0),"")</f>
        <v/>
      </c>
      <c r="I657" s="6">
        <f>IF($G657="正常",$H657/60,"")</f>
        <v/>
      </c>
      <c r="J657" s="7">
        <f>IF($G657="正常",ROUND($H657/30,0)/2,"")</f>
        <v/>
      </c>
      <c r="K657" s="7">
        <f>IF($G657="正常",MIN($J657,12),"")</f>
        <v/>
      </c>
      <c r="L657" s="7">
        <f>IF($G657="正常",MAX($J657-12,0),"")</f>
        <v/>
      </c>
    </row>
    <row r="658">
      <c r="A658" s="3" t="inlineStr">
        <is>
          <t>王中会</t>
        </is>
      </c>
      <c r="B658" s="3" t="inlineStr">
        <is>
          <t>8/6</t>
        </is>
      </c>
      <c r="C658" s="3" t="inlineStr">
        <is>
          <t>四</t>
        </is>
      </c>
      <c r="D658" s="3" t="inlineStr">
        <is>
          <t>08:52 19:04</t>
        </is>
      </c>
      <c r="E658" s="4" t="n">
        <v>0.3694444444444445</v>
      </c>
      <c r="F658" s="4" t="n">
        <v>0.7944444444444444</v>
      </c>
      <c r="G658" s="3">
        <f>IF($E658="","空卡",IF($F658="","单卡","正常"))</f>
        <v/>
      </c>
      <c r="H658" s="5">
        <f>IF($G658="正常",ROUND(($F658-$E658)*1440,0),"")</f>
        <v/>
      </c>
      <c r="I658" s="6">
        <f>IF($G658="正常",$H658/60,"")</f>
        <v/>
      </c>
      <c r="J658" s="7">
        <f>IF($G658="正常",ROUND($H658/30,0)/2,"")</f>
        <v/>
      </c>
      <c r="K658" s="7">
        <f>IF($G658="正常",MIN($J658,12),"")</f>
        <v/>
      </c>
      <c r="L658" s="7">
        <f>IF($G658="正常",MAX($J658-12,0),"")</f>
        <v/>
      </c>
    </row>
    <row r="659">
      <c r="A659" s="3" t="inlineStr">
        <is>
          <t>王中会</t>
        </is>
      </c>
      <c r="B659" s="3" t="inlineStr">
        <is>
          <t>8/7</t>
        </is>
      </c>
      <c r="C659" s="3" t="inlineStr">
        <is>
          <t>五</t>
        </is>
      </c>
      <c r="D659" s="3" t="inlineStr">
        <is>
          <t>07:57 20:00</t>
        </is>
      </c>
      <c r="E659" s="4" t="n">
        <v>0.33125</v>
      </c>
      <c r="F659" s="4" t="n">
        <v>0.8333333333333334</v>
      </c>
      <c r="G659" s="3">
        <f>IF($E659="","空卡",IF($F659="","单卡","正常"))</f>
        <v/>
      </c>
      <c r="H659" s="5">
        <f>IF($G659="正常",ROUND(($F659-$E659)*1440,0),"")</f>
        <v/>
      </c>
      <c r="I659" s="6">
        <f>IF($G659="正常",$H659/60,"")</f>
        <v/>
      </c>
      <c r="J659" s="7">
        <f>IF($G659="正常",ROUND($H659/30,0)/2,"")</f>
        <v/>
      </c>
      <c r="K659" s="7">
        <f>IF($G659="正常",MIN($J659,12),"")</f>
        <v/>
      </c>
      <c r="L659" s="7">
        <f>IF($G659="正常",MAX($J659-12,0),"")</f>
        <v/>
      </c>
    </row>
    <row r="660">
      <c r="A660" s="3" t="inlineStr">
        <is>
          <t>王中会</t>
        </is>
      </c>
      <c r="B660" s="3" t="inlineStr">
        <is>
          <t>8/8</t>
        </is>
      </c>
      <c r="C660" s="3" t="inlineStr">
        <is>
          <t>六</t>
        </is>
      </c>
      <c r="D660" s="3" t="inlineStr">
        <is>
          <t>08:27 19:37</t>
        </is>
      </c>
      <c r="E660" s="4" t="n">
        <v>0.3520833333333334</v>
      </c>
      <c r="F660" s="4" t="n">
        <v>0.8173611111111111</v>
      </c>
      <c r="G660" s="3">
        <f>IF($E660="","空卡",IF($F660="","单卡","正常"))</f>
        <v/>
      </c>
      <c r="H660" s="5">
        <f>IF($G660="正常",ROUND(($F660-$E660)*1440,0),"")</f>
        <v/>
      </c>
      <c r="I660" s="6">
        <f>IF($G660="正常",$H660/60,"")</f>
        <v/>
      </c>
      <c r="J660" s="7">
        <f>IF($G660="正常",ROUND($H660/30,0)/2,"")</f>
        <v/>
      </c>
      <c r="K660" s="7">
        <f>IF($G660="正常",MIN($J660,12),"")</f>
        <v/>
      </c>
      <c r="L660" s="7">
        <f>IF($G660="正常",MAX($J660-12,0),"")</f>
        <v/>
      </c>
    </row>
    <row r="661">
      <c r="A661" s="8" t="inlineStr">
        <is>
          <t>王中会</t>
        </is>
      </c>
      <c r="B661" s="8" t="inlineStr">
        <is>
          <t>8/9</t>
        </is>
      </c>
      <c r="C661" s="8" t="inlineStr">
        <is>
          <t>日</t>
        </is>
      </c>
      <c r="D661" s="8" t="inlineStr"/>
      <c r="E661" s="9" t="n"/>
      <c r="F661" s="9" t="n"/>
      <c r="G661" s="10">
        <f>IF($E661="","空卡",IF($F661="","单卡","正常"))</f>
        <v/>
      </c>
      <c r="H661" s="11">
        <f>IF($G661="正常",ROUND(($F661-$E661)*1440,0),"")</f>
        <v/>
      </c>
      <c r="I661" s="12">
        <f>IF($G661="正常",$H661/60,"")</f>
        <v/>
      </c>
      <c r="J661" s="13">
        <f>IF($G661="正常",ROUND($H661/30,0)/2,"")</f>
        <v/>
      </c>
      <c r="K661" s="13">
        <f>IF($G661="正常",MIN($J661,12),"")</f>
        <v/>
      </c>
      <c r="L661" s="13">
        <f>IF($G661="正常",MAX($J661-12,0),"")</f>
        <v/>
      </c>
    </row>
    <row r="662">
      <c r="A662" s="3" t="inlineStr">
        <is>
          <t>王中会</t>
        </is>
      </c>
      <c r="B662" s="3" t="inlineStr">
        <is>
          <t>8/10</t>
        </is>
      </c>
      <c r="C662" s="3" t="inlineStr">
        <is>
          <t>一</t>
        </is>
      </c>
      <c r="D662" s="3" t="inlineStr">
        <is>
          <t>08:25 19:55</t>
        </is>
      </c>
      <c r="E662" s="4" t="n">
        <v>0.3506944444444444</v>
      </c>
      <c r="F662" s="4" t="n">
        <v>0.8298611111111112</v>
      </c>
      <c r="G662" s="3">
        <f>IF($E662="","空卡",IF($F662="","单卡","正常"))</f>
        <v/>
      </c>
      <c r="H662" s="5">
        <f>IF($G662="正常",ROUND(($F662-$E662)*1440,0),"")</f>
        <v/>
      </c>
      <c r="I662" s="6">
        <f>IF($G662="正常",$H662/60,"")</f>
        <v/>
      </c>
      <c r="J662" s="7">
        <f>IF($G662="正常",ROUND($H662/30,0)/2,"")</f>
        <v/>
      </c>
      <c r="K662" s="7">
        <f>IF($G662="正常",MIN($J662,12),"")</f>
        <v/>
      </c>
      <c r="L662" s="7">
        <f>IF($G662="正常",MAX($J662-12,0),"")</f>
        <v/>
      </c>
    </row>
    <row r="663">
      <c r="A663" s="3" t="inlineStr">
        <is>
          <t>王中会</t>
        </is>
      </c>
      <c r="B663" s="3" t="inlineStr">
        <is>
          <t>8/11</t>
        </is>
      </c>
      <c r="C663" s="3" t="inlineStr">
        <is>
          <t>二</t>
        </is>
      </c>
      <c r="D663" s="3" t="inlineStr">
        <is>
          <t>08:25 18:11</t>
        </is>
      </c>
      <c r="E663" s="4" t="n">
        <v>0.3506944444444444</v>
      </c>
      <c r="F663" s="4" t="n">
        <v>0.7576388888888889</v>
      </c>
      <c r="G663" s="3">
        <f>IF($E663="","空卡",IF($F663="","单卡","正常"))</f>
        <v/>
      </c>
      <c r="H663" s="5">
        <f>IF($G663="正常",ROUND(($F663-$E663)*1440,0),"")</f>
        <v/>
      </c>
      <c r="I663" s="6">
        <f>IF($G663="正常",$H663/60,"")</f>
        <v/>
      </c>
      <c r="J663" s="7">
        <f>IF($G663="正常",ROUND($H663/30,0)/2,"")</f>
        <v/>
      </c>
      <c r="K663" s="7">
        <f>IF($G663="正常",MIN($J663,12),"")</f>
        <v/>
      </c>
      <c r="L663" s="7">
        <f>IF($G663="正常",MAX($J663-12,0),"")</f>
        <v/>
      </c>
    </row>
    <row r="664">
      <c r="A664" s="3" t="inlineStr">
        <is>
          <t>王中会</t>
        </is>
      </c>
      <c r="B664" s="3" t="inlineStr">
        <is>
          <t>8/12</t>
        </is>
      </c>
      <c r="C664" s="3" t="inlineStr">
        <is>
          <t>三</t>
        </is>
      </c>
      <c r="D664" s="3" t="inlineStr">
        <is>
          <t>06:56 18:36</t>
        </is>
      </c>
      <c r="E664" s="4" t="n">
        <v>0.2888888888888889</v>
      </c>
      <c r="F664" s="4" t="n">
        <v>0.775</v>
      </c>
      <c r="G664" s="3">
        <f>IF($E664="","空卡",IF($F664="","单卡","正常"))</f>
        <v/>
      </c>
      <c r="H664" s="5">
        <f>IF($G664="正常",ROUND(($F664-$E664)*1440,0),"")</f>
        <v/>
      </c>
      <c r="I664" s="6">
        <f>IF($G664="正常",$H664/60,"")</f>
        <v/>
      </c>
      <c r="J664" s="7">
        <f>IF($G664="正常",ROUND($H664/30,0)/2,"")</f>
        <v/>
      </c>
      <c r="K664" s="7">
        <f>IF($G664="正常",MIN($J664,12),"")</f>
        <v/>
      </c>
      <c r="L664" s="7">
        <f>IF($G664="正常",MAX($J664-12,0),"")</f>
        <v/>
      </c>
    </row>
    <row r="665">
      <c r="A665" s="3" t="inlineStr">
        <is>
          <t>王中会</t>
        </is>
      </c>
      <c r="B665" s="3" t="inlineStr">
        <is>
          <t>8/13</t>
        </is>
      </c>
      <c r="C665" s="3" t="inlineStr">
        <is>
          <t>四</t>
        </is>
      </c>
      <c r="D665" s="3" t="inlineStr">
        <is>
          <t>09:56 19:06</t>
        </is>
      </c>
      <c r="E665" s="4" t="n">
        <v>0.4138888888888889</v>
      </c>
      <c r="F665" s="4" t="n">
        <v>0.7958333333333333</v>
      </c>
      <c r="G665" s="3">
        <f>IF($E665="","空卡",IF($F665="","单卡","正常"))</f>
        <v/>
      </c>
      <c r="H665" s="5">
        <f>IF($G665="正常",ROUND(($F665-$E665)*1440,0),"")</f>
        <v/>
      </c>
      <c r="I665" s="6">
        <f>IF($G665="正常",$H665/60,"")</f>
        <v/>
      </c>
      <c r="J665" s="7">
        <f>IF($G665="正常",ROUND($H665/30,0)/2,"")</f>
        <v/>
      </c>
      <c r="K665" s="7">
        <f>IF($G665="正常",MIN($J665,12),"")</f>
        <v/>
      </c>
      <c r="L665" s="7">
        <f>IF($G665="正常",MAX($J665-12,0),"")</f>
        <v/>
      </c>
    </row>
    <row r="666">
      <c r="A666" s="3" t="inlineStr">
        <is>
          <t>王中会</t>
        </is>
      </c>
      <c r="B666" s="3" t="inlineStr">
        <is>
          <t>8/14</t>
        </is>
      </c>
      <c r="C666" s="3" t="inlineStr">
        <is>
          <t>五</t>
        </is>
      </c>
      <c r="D666" s="3" t="inlineStr">
        <is>
          <t>06:51 21:02</t>
        </is>
      </c>
      <c r="E666" s="4" t="n">
        <v>0.2854166666666667</v>
      </c>
      <c r="F666" s="4" t="n">
        <v>0.8763888888888889</v>
      </c>
      <c r="G666" s="3">
        <f>IF($E666="","空卡",IF($F666="","单卡","正常"))</f>
        <v/>
      </c>
      <c r="H666" s="5">
        <f>IF($G666="正常",ROUND(($F666-$E666)*1440,0),"")</f>
        <v/>
      </c>
      <c r="I666" s="6">
        <f>IF($G666="正常",$H666/60,"")</f>
        <v/>
      </c>
      <c r="J666" s="7">
        <f>IF($G666="正常",ROUND($H666/30,0)/2,"")</f>
        <v/>
      </c>
      <c r="K666" s="7">
        <f>IF($G666="正常",MIN($J666,12),"")</f>
        <v/>
      </c>
      <c r="L666" s="7">
        <f>IF($G666="正常",MAX($J666-12,0),"")</f>
        <v/>
      </c>
    </row>
    <row r="667">
      <c r="A667" s="3" t="inlineStr">
        <is>
          <t>王中会</t>
        </is>
      </c>
      <c r="B667" s="3" t="inlineStr">
        <is>
          <t>8/15</t>
        </is>
      </c>
      <c r="C667" s="3" t="inlineStr">
        <is>
          <t>六</t>
        </is>
      </c>
      <c r="D667" s="3" t="inlineStr">
        <is>
          <t>06:56 19:00</t>
        </is>
      </c>
      <c r="E667" s="4" t="n">
        <v>0.2888888888888889</v>
      </c>
      <c r="F667" s="4" t="n">
        <v>0.7916666666666666</v>
      </c>
      <c r="G667" s="3">
        <f>IF($E667="","空卡",IF($F667="","单卡","正常"))</f>
        <v/>
      </c>
      <c r="H667" s="5">
        <f>IF($G667="正常",ROUND(($F667-$E667)*1440,0),"")</f>
        <v/>
      </c>
      <c r="I667" s="6">
        <f>IF($G667="正常",$H667/60,"")</f>
        <v/>
      </c>
      <c r="J667" s="7">
        <f>IF($G667="正常",ROUND($H667/30,0)/2,"")</f>
        <v/>
      </c>
      <c r="K667" s="7">
        <f>IF($G667="正常",MIN($J667,12),"")</f>
        <v/>
      </c>
      <c r="L667" s="7">
        <f>IF($G667="正常",MAX($J667-12,0),"")</f>
        <v/>
      </c>
    </row>
    <row r="668">
      <c r="A668" s="8" t="inlineStr">
        <is>
          <t>王中会</t>
        </is>
      </c>
      <c r="B668" s="8" t="inlineStr">
        <is>
          <t>8/16</t>
        </is>
      </c>
      <c r="C668" s="8" t="inlineStr">
        <is>
          <t>日</t>
        </is>
      </c>
      <c r="D668" s="8" t="inlineStr"/>
      <c r="E668" s="9" t="n"/>
      <c r="F668" s="9" t="n"/>
      <c r="G668" s="10">
        <f>IF($E668="","空卡",IF($F668="","单卡","正常"))</f>
        <v/>
      </c>
      <c r="H668" s="11">
        <f>IF($G668="正常",ROUND(($F668-$E668)*1440,0),"")</f>
        <v/>
      </c>
      <c r="I668" s="12">
        <f>IF($G668="正常",$H668/60,"")</f>
        <v/>
      </c>
      <c r="J668" s="13">
        <f>IF($G668="正常",ROUND($H668/30,0)/2,"")</f>
        <v/>
      </c>
      <c r="K668" s="13">
        <f>IF($G668="正常",MIN($J668,12),"")</f>
        <v/>
      </c>
      <c r="L668" s="13">
        <f>IF($G668="正常",MAX($J668-12,0),"")</f>
        <v/>
      </c>
    </row>
    <row r="669">
      <c r="A669" s="3" t="inlineStr">
        <is>
          <t>王中会</t>
        </is>
      </c>
      <c r="B669" s="3" t="inlineStr">
        <is>
          <t>8/17</t>
        </is>
      </c>
      <c r="C669" s="3" t="inlineStr">
        <is>
          <t>一</t>
        </is>
      </c>
      <c r="D669" s="3" t="inlineStr">
        <is>
          <t>07:56 20:00</t>
        </is>
      </c>
      <c r="E669" s="4" t="n">
        <v>0.3305555555555555</v>
      </c>
      <c r="F669" s="4" t="n">
        <v>0.8333333333333334</v>
      </c>
      <c r="G669" s="3">
        <f>IF($E669="","空卡",IF($F669="","单卡","正常"))</f>
        <v/>
      </c>
      <c r="H669" s="5">
        <f>IF($G669="正常",ROUND(($F669-$E669)*1440,0),"")</f>
        <v/>
      </c>
      <c r="I669" s="6">
        <f>IF($G669="正常",$H669/60,"")</f>
        <v/>
      </c>
      <c r="J669" s="7">
        <f>IF($G669="正常",ROUND($H669/30,0)/2,"")</f>
        <v/>
      </c>
      <c r="K669" s="7">
        <f>IF($G669="正常",MIN($J669,12),"")</f>
        <v/>
      </c>
      <c r="L669" s="7">
        <f>IF($G669="正常",MAX($J669-12,0),"")</f>
        <v/>
      </c>
    </row>
    <row r="670">
      <c r="A670" s="3" t="inlineStr">
        <is>
          <t>王中会</t>
        </is>
      </c>
      <c r="B670" s="3" t="inlineStr">
        <is>
          <t>8/18</t>
        </is>
      </c>
      <c r="C670" s="3" t="inlineStr">
        <is>
          <t>二</t>
        </is>
      </c>
      <c r="D670" s="3" t="inlineStr">
        <is>
          <t>07:57 18:58</t>
        </is>
      </c>
      <c r="E670" s="4" t="n">
        <v>0.33125</v>
      </c>
      <c r="F670" s="4" t="n">
        <v>0.7902777777777777</v>
      </c>
      <c r="G670" s="3">
        <f>IF($E670="","空卡",IF($F670="","单卡","正常"))</f>
        <v/>
      </c>
      <c r="H670" s="5">
        <f>IF($G670="正常",ROUND(($F670-$E670)*1440,0),"")</f>
        <v/>
      </c>
      <c r="I670" s="6">
        <f>IF($G670="正常",$H670/60,"")</f>
        <v/>
      </c>
      <c r="J670" s="7">
        <f>IF($G670="正常",ROUND($H670/30,0)/2,"")</f>
        <v/>
      </c>
      <c r="K670" s="7">
        <f>IF($G670="正常",MIN($J670,12),"")</f>
        <v/>
      </c>
      <c r="L670" s="7">
        <f>IF($G670="正常",MAX($J670-12,0),"")</f>
        <v/>
      </c>
    </row>
    <row r="671">
      <c r="A671" s="3" t="inlineStr">
        <is>
          <t>王中会</t>
        </is>
      </c>
      <c r="B671" s="3" t="inlineStr">
        <is>
          <t>8/19</t>
        </is>
      </c>
      <c r="C671" s="3" t="inlineStr">
        <is>
          <t>三</t>
        </is>
      </c>
      <c r="D671" s="3" t="inlineStr">
        <is>
          <t>08:58 20:30</t>
        </is>
      </c>
      <c r="E671" s="4" t="n">
        <v>0.3736111111111111</v>
      </c>
      <c r="F671" s="4" t="n">
        <v>0.8541666666666666</v>
      </c>
      <c r="G671" s="3">
        <f>IF($E671="","空卡",IF($F671="","单卡","正常"))</f>
        <v/>
      </c>
      <c r="H671" s="5">
        <f>IF($G671="正常",ROUND(($F671-$E671)*1440,0),"")</f>
        <v/>
      </c>
      <c r="I671" s="6">
        <f>IF($G671="正常",$H671/60,"")</f>
        <v/>
      </c>
      <c r="J671" s="7">
        <f>IF($G671="正常",ROUND($H671/30,0)/2,"")</f>
        <v/>
      </c>
      <c r="K671" s="7">
        <f>IF($G671="正常",MIN($J671,12),"")</f>
        <v/>
      </c>
      <c r="L671" s="7">
        <f>IF($G671="正常",MAX($J671-12,0),"")</f>
        <v/>
      </c>
    </row>
    <row r="672">
      <c r="A672" s="3" t="inlineStr">
        <is>
          <t>王中会</t>
        </is>
      </c>
      <c r="B672" s="3" t="inlineStr">
        <is>
          <t>8/20</t>
        </is>
      </c>
      <c r="C672" s="3" t="inlineStr">
        <is>
          <t>四</t>
        </is>
      </c>
      <c r="D672" s="3" t="inlineStr">
        <is>
          <t>08:29 19:57</t>
        </is>
      </c>
      <c r="E672" s="4" t="n">
        <v>0.3534722222222222</v>
      </c>
      <c r="F672" s="4" t="n">
        <v>0.83125</v>
      </c>
      <c r="G672" s="3">
        <f>IF($E672="","空卡",IF($F672="","单卡","正常"))</f>
        <v/>
      </c>
      <c r="H672" s="5">
        <f>IF($G672="正常",ROUND(($F672-$E672)*1440,0),"")</f>
        <v/>
      </c>
      <c r="I672" s="6">
        <f>IF($G672="正常",$H672/60,"")</f>
        <v/>
      </c>
      <c r="J672" s="7">
        <f>IF($G672="正常",ROUND($H672/30,0)/2,"")</f>
        <v/>
      </c>
      <c r="K672" s="7">
        <f>IF($G672="正常",MIN($J672,12),"")</f>
        <v/>
      </c>
      <c r="L672" s="7">
        <f>IF($G672="正常",MAX($J672-12,0),"")</f>
        <v/>
      </c>
    </row>
    <row r="673">
      <c r="A673" s="3" t="inlineStr">
        <is>
          <t>王中会</t>
        </is>
      </c>
      <c r="B673" s="3" t="inlineStr">
        <is>
          <t>8/21</t>
        </is>
      </c>
      <c r="C673" s="3" t="inlineStr">
        <is>
          <t>五</t>
        </is>
      </c>
      <c r="D673" s="3" t="inlineStr">
        <is>
          <t>06:48 19:02</t>
        </is>
      </c>
      <c r="E673" s="4" t="n">
        <v>0.2833333333333333</v>
      </c>
      <c r="F673" s="4" t="n">
        <v>0.7930555555555555</v>
      </c>
      <c r="G673" s="3">
        <f>IF($E673="","空卡",IF($F673="","单卡","正常"))</f>
        <v/>
      </c>
      <c r="H673" s="5">
        <f>IF($G673="正常",ROUND(($F673-$E673)*1440,0),"")</f>
        <v/>
      </c>
      <c r="I673" s="6">
        <f>IF($G673="正常",$H673/60,"")</f>
        <v/>
      </c>
      <c r="J673" s="7">
        <f>IF($G673="正常",ROUND($H673/30,0)/2,"")</f>
        <v/>
      </c>
      <c r="K673" s="7">
        <f>IF($G673="正常",MIN($J673,12),"")</f>
        <v/>
      </c>
      <c r="L673" s="7">
        <f>IF($G673="正常",MAX($J673-12,0),"")</f>
        <v/>
      </c>
    </row>
    <row r="674">
      <c r="A674" s="3" t="inlineStr">
        <is>
          <t>王中会</t>
        </is>
      </c>
      <c r="B674" s="3" t="inlineStr">
        <is>
          <t>8/22</t>
        </is>
      </c>
      <c r="C674" s="3" t="inlineStr">
        <is>
          <t>六</t>
        </is>
      </c>
      <c r="D674" s="3" t="inlineStr">
        <is>
          <t>06:58 18:31</t>
        </is>
      </c>
      <c r="E674" s="4" t="n">
        <v>0.2902777777777778</v>
      </c>
      <c r="F674" s="4" t="n">
        <v>0.7715277777777778</v>
      </c>
      <c r="G674" s="3">
        <f>IF($E674="","空卡",IF($F674="","单卡","正常"))</f>
        <v/>
      </c>
      <c r="H674" s="5">
        <f>IF($G674="正常",ROUND(($F674-$E674)*1440,0),"")</f>
        <v/>
      </c>
      <c r="I674" s="6">
        <f>IF($G674="正常",$H674/60,"")</f>
        <v/>
      </c>
      <c r="J674" s="7">
        <f>IF($G674="正常",ROUND($H674/30,0)/2,"")</f>
        <v/>
      </c>
      <c r="K674" s="7">
        <f>IF($G674="正常",MIN($J674,12),"")</f>
        <v/>
      </c>
      <c r="L674" s="7">
        <f>IF($G674="正常",MAX($J674-12,0),"")</f>
        <v/>
      </c>
    </row>
    <row r="675">
      <c r="A675" s="3" t="inlineStr">
        <is>
          <t>王中会</t>
        </is>
      </c>
      <c r="B675" s="3" t="inlineStr">
        <is>
          <t>8/23</t>
        </is>
      </c>
      <c r="C675" s="3" t="inlineStr">
        <is>
          <t>日</t>
        </is>
      </c>
      <c r="D675" s="3" t="inlineStr">
        <is>
          <t>07:04 17:59</t>
        </is>
      </c>
      <c r="E675" s="4" t="n">
        <v>0.2944444444444445</v>
      </c>
      <c r="F675" s="4" t="n">
        <v>0.7493055555555556</v>
      </c>
      <c r="G675" s="3">
        <f>IF($E675="","空卡",IF($F675="","单卡","正常"))</f>
        <v/>
      </c>
      <c r="H675" s="5">
        <f>IF($G675="正常",ROUND(($F675-$E675)*1440,0),"")</f>
        <v/>
      </c>
      <c r="I675" s="6">
        <f>IF($G675="正常",$H675/60,"")</f>
        <v/>
      </c>
      <c r="J675" s="7">
        <f>IF($G675="正常",ROUND($H675/30,0)/2,"")</f>
        <v/>
      </c>
      <c r="K675" s="7">
        <f>IF($G675="正常",MIN($J675,12),"")</f>
        <v/>
      </c>
      <c r="L675" s="7">
        <f>IF($G675="正常",MAX($J675-12,0),"")</f>
        <v/>
      </c>
    </row>
    <row r="676">
      <c r="A676" s="3" t="inlineStr">
        <is>
          <t>王中会</t>
        </is>
      </c>
      <c r="B676" s="3" t="inlineStr">
        <is>
          <t>8/24</t>
        </is>
      </c>
      <c r="C676" s="3" t="inlineStr">
        <is>
          <t>一</t>
        </is>
      </c>
      <c r="D676" s="3" t="inlineStr">
        <is>
          <t>06:56 16:44</t>
        </is>
      </c>
      <c r="E676" s="4" t="n">
        <v>0.2888888888888889</v>
      </c>
      <c r="F676" s="4" t="n">
        <v>0.6972222222222222</v>
      </c>
      <c r="G676" s="3">
        <f>IF($E676="","空卡",IF($F676="","单卡","正常"))</f>
        <v/>
      </c>
      <c r="H676" s="5">
        <f>IF($G676="正常",ROUND(($F676-$E676)*1440,0),"")</f>
        <v/>
      </c>
      <c r="I676" s="6">
        <f>IF($G676="正常",$H676/60,"")</f>
        <v/>
      </c>
      <c r="J676" s="7">
        <f>IF($G676="正常",ROUND($H676/30,0)/2,"")</f>
        <v/>
      </c>
      <c r="K676" s="7">
        <f>IF($G676="正常",MIN($J676,12),"")</f>
        <v/>
      </c>
      <c r="L676" s="7">
        <f>IF($G676="正常",MAX($J676-12,0),"")</f>
        <v/>
      </c>
    </row>
    <row r="677">
      <c r="A677" s="3" t="inlineStr">
        <is>
          <t>王中会</t>
        </is>
      </c>
      <c r="B677" s="3" t="inlineStr">
        <is>
          <t>8/25</t>
        </is>
      </c>
      <c r="C677" s="3" t="inlineStr">
        <is>
          <t>二</t>
        </is>
      </c>
      <c r="D677" s="3" t="inlineStr">
        <is>
          <t>07:58 18:38</t>
        </is>
      </c>
      <c r="E677" s="4" t="n">
        <v>0.3319444444444444</v>
      </c>
      <c r="F677" s="4" t="n">
        <v>0.7763888888888889</v>
      </c>
      <c r="G677" s="3">
        <f>IF($E677="","空卡",IF($F677="","单卡","正常"))</f>
        <v/>
      </c>
      <c r="H677" s="5">
        <f>IF($G677="正常",ROUND(($F677-$E677)*1440,0),"")</f>
        <v/>
      </c>
      <c r="I677" s="6">
        <f>IF($G677="正常",$H677/60,"")</f>
        <v/>
      </c>
      <c r="J677" s="7">
        <f>IF($G677="正常",ROUND($H677/30,0)/2,"")</f>
        <v/>
      </c>
      <c r="K677" s="7">
        <f>IF($G677="正常",MIN($J677,12),"")</f>
        <v/>
      </c>
      <c r="L677" s="7">
        <f>IF($G677="正常",MAX($J677-12,0),"")</f>
        <v/>
      </c>
    </row>
    <row r="678">
      <c r="A678" s="3" t="inlineStr">
        <is>
          <t>王中会</t>
        </is>
      </c>
      <c r="B678" s="3" t="inlineStr">
        <is>
          <t>8/26</t>
        </is>
      </c>
      <c r="C678" s="3" t="inlineStr">
        <is>
          <t>三</t>
        </is>
      </c>
      <c r="D678" s="3" t="inlineStr">
        <is>
          <t>07:52 18:59</t>
        </is>
      </c>
      <c r="E678" s="4" t="n">
        <v>0.3277777777777778</v>
      </c>
      <c r="F678" s="4" t="n">
        <v>0.7909722222222222</v>
      </c>
      <c r="G678" s="3">
        <f>IF($E678="","空卡",IF($F678="","单卡","正常"))</f>
        <v/>
      </c>
      <c r="H678" s="5">
        <f>IF($G678="正常",ROUND(($F678-$E678)*1440,0),"")</f>
        <v/>
      </c>
      <c r="I678" s="6">
        <f>IF($G678="正常",$H678/60,"")</f>
        <v/>
      </c>
      <c r="J678" s="7">
        <f>IF($G678="正常",ROUND($H678/30,0)/2,"")</f>
        <v/>
      </c>
      <c r="K678" s="7">
        <f>IF($G678="正常",MIN($J678,12),"")</f>
        <v/>
      </c>
      <c r="L678" s="7">
        <f>IF($G678="正常",MAX($J678-12,0),"")</f>
        <v/>
      </c>
    </row>
    <row r="679">
      <c r="A679" s="3" t="inlineStr">
        <is>
          <t>王中会</t>
        </is>
      </c>
      <c r="B679" s="3" t="inlineStr">
        <is>
          <t>8/27</t>
        </is>
      </c>
      <c r="C679" s="3" t="inlineStr">
        <is>
          <t>四</t>
        </is>
      </c>
      <c r="D679" s="3" t="inlineStr">
        <is>
          <t>07:55 19:09</t>
        </is>
      </c>
      <c r="E679" s="4" t="n">
        <v>0.3298611111111111</v>
      </c>
      <c r="F679" s="4" t="n">
        <v>0.7979166666666667</v>
      </c>
      <c r="G679" s="3">
        <f>IF($E679="","空卡",IF($F679="","单卡","正常"))</f>
        <v/>
      </c>
      <c r="H679" s="5">
        <f>IF($G679="正常",ROUND(($F679-$E679)*1440,0),"")</f>
        <v/>
      </c>
      <c r="I679" s="6">
        <f>IF($G679="正常",$H679/60,"")</f>
        <v/>
      </c>
      <c r="J679" s="7">
        <f>IF($G679="正常",ROUND($H679/30,0)/2,"")</f>
        <v/>
      </c>
      <c r="K679" s="7">
        <f>IF($G679="正常",MIN($J679,12),"")</f>
        <v/>
      </c>
      <c r="L679" s="7">
        <f>IF($G679="正常",MAX($J679-12,0),"")</f>
        <v/>
      </c>
    </row>
    <row r="680">
      <c r="A680" s="3" t="inlineStr">
        <is>
          <t>王中会</t>
        </is>
      </c>
      <c r="B680" s="3" t="inlineStr">
        <is>
          <t>8/28</t>
        </is>
      </c>
      <c r="C680" s="3" t="inlineStr">
        <is>
          <t>五</t>
        </is>
      </c>
      <c r="D680" s="3" t="inlineStr">
        <is>
          <t>07:57 18:29</t>
        </is>
      </c>
      <c r="E680" s="4" t="n">
        <v>0.33125</v>
      </c>
      <c r="F680" s="4" t="n">
        <v>0.7701388888888889</v>
      </c>
      <c r="G680" s="3">
        <f>IF($E680="","空卡",IF($F680="","单卡","正常"))</f>
        <v/>
      </c>
      <c r="H680" s="5">
        <f>IF($G680="正常",ROUND(($F680-$E680)*1440,0),"")</f>
        <v/>
      </c>
      <c r="I680" s="6">
        <f>IF($G680="正常",$H680/60,"")</f>
        <v/>
      </c>
      <c r="J680" s="7">
        <f>IF($G680="正常",ROUND($H680/30,0)/2,"")</f>
        <v/>
      </c>
      <c r="K680" s="7">
        <f>IF($G680="正常",MIN($J680,12),"")</f>
        <v/>
      </c>
      <c r="L680" s="7">
        <f>IF($G680="正常",MAX($J680-12,0),"")</f>
        <v/>
      </c>
    </row>
    <row r="681">
      <c r="A681" s="3" t="inlineStr">
        <is>
          <t>王中会</t>
        </is>
      </c>
      <c r="B681" s="3" t="inlineStr">
        <is>
          <t>8/29</t>
        </is>
      </c>
      <c r="C681" s="3" t="inlineStr">
        <is>
          <t>六</t>
        </is>
      </c>
      <c r="D681" s="3" t="inlineStr">
        <is>
          <t>07:55 22:00</t>
        </is>
      </c>
      <c r="E681" s="4" t="n">
        <v>0.3298611111111111</v>
      </c>
      <c r="F681" s="4" t="n">
        <v>0.9166666666666666</v>
      </c>
      <c r="G681" s="3">
        <f>IF($E681="","空卡",IF($F681="","单卡","正常"))</f>
        <v/>
      </c>
      <c r="H681" s="5">
        <f>IF($G681="正常",ROUND(($F681-$E681)*1440,0),"")</f>
        <v/>
      </c>
      <c r="I681" s="6">
        <f>IF($G681="正常",$H681/60,"")</f>
        <v/>
      </c>
      <c r="J681" s="7">
        <f>IF($G681="正常",ROUND($H681/30,0)/2,"")</f>
        <v/>
      </c>
      <c r="K681" s="7">
        <f>IF($G681="正常",MIN($J681,12),"")</f>
        <v/>
      </c>
      <c r="L681" s="7">
        <f>IF($G681="正常",MAX($J681-12,0),"")</f>
        <v/>
      </c>
    </row>
    <row r="682">
      <c r="A682" s="3" t="inlineStr">
        <is>
          <t>王中会</t>
        </is>
      </c>
      <c r="B682" s="3" t="inlineStr">
        <is>
          <t>8/30</t>
        </is>
      </c>
      <c r="C682" s="3" t="inlineStr">
        <is>
          <t>日</t>
        </is>
      </c>
      <c r="D682" s="3" t="inlineStr">
        <is>
          <t>07:56 18:42</t>
        </is>
      </c>
      <c r="E682" s="4" t="n">
        <v>0.3305555555555555</v>
      </c>
      <c r="F682" s="4" t="n">
        <v>0.7791666666666667</v>
      </c>
      <c r="G682" s="3">
        <f>IF($E682="","空卡",IF($F682="","单卡","正常"))</f>
        <v/>
      </c>
      <c r="H682" s="5">
        <f>IF($G682="正常",ROUND(($F682-$E682)*1440,0),"")</f>
        <v/>
      </c>
      <c r="I682" s="6">
        <f>IF($G682="正常",$H682/60,"")</f>
        <v/>
      </c>
      <c r="J682" s="7">
        <f>IF($G682="正常",ROUND($H682/30,0)/2,"")</f>
        <v/>
      </c>
      <c r="K682" s="7">
        <f>IF($G682="正常",MIN($J682,12),"")</f>
        <v/>
      </c>
      <c r="L682" s="7">
        <f>IF($G682="正常",MAX($J682-12,0),"")</f>
        <v/>
      </c>
    </row>
    <row r="683">
      <c r="A683" s="8" t="inlineStr">
        <is>
          <t>王中会</t>
        </is>
      </c>
      <c r="B683" s="8" t="inlineStr">
        <is>
          <t>8/31</t>
        </is>
      </c>
      <c r="C683" s="8" t="inlineStr">
        <is>
          <t>一</t>
        </is>
      </c>
      <c r="D683" s="8" t="inlineStr"/>
      <c r="E683" s="9" t="n"/>
      <c r="F683" s="9" t="n"/>
      <c r="G683" s="10">
        <f>IF($E683="","空卡",IF($F683="","单卡","正常"))</f>
        <v/>
      </c>
      <c r="H683" s="11">
        <f>IF($G683="正常",ROUND(($F683-$E683)*1440,0),"")</f>
        <v/>
      </c>
      <c r="I683" s="12">
        <f>IF($G683="正常",$H683/60,"")</f>
        <v/>
      </c>
      <c r="J683" s="13">
        <f>IF($G683="正常",ROUND($H683/30,0)/2,"")</f>
        <v/>
      </c>
      <c r="K683" s="13">
        <f>IF($G683="正常",MIN($J683,12),"")</f>
        <v/>
      </c>
      <c r="L683" s="13">
        <f>IF($G683="正常",MAX($J683-12,0),"")</f>
        <v/>
      </c>
    </row>
    <row r="684">
      <c r="A684" s="3" t="inlineStr">
        <is>
          <t>曾令杰</t>
        </is>
      </c>
      <c r="B684" s="3" t="inlineStr">
        <is>
          <t>8/1</t>
        </is>
      </c>
      <c r="C684" s="3" t="inlineStr">
        <is>
          <t>六</t>
        </is>
      </c>
      <c r="D684" s="3" t="inlineStr">
        <is>
          <t>07:54 17:00</t>
        </is>
      </c>
      <c r="E684" s="4" t="n">
        <v>0.3291666666666667</v>
      </c>
      <c r="F684" s="4" t="n">
        <v>0.7083333333333334</v>
      </c>
      <c r="G684" s="3">
        <f>IF($E684="","空卡",IF($F684="","单卡","正常"))</f>
        <v/>
      </c>
      <c r="H684" s="5">
        <f>IF($G684="正常",ROUND(($F684-$E684)*1440,0),"")</f>
        <v/>
      </c>
      <c r="I684" s="6">
        <f>IF($G684="正常",$H684/60,"")</f>
        <v/>
      </c>
      <c r="J684" s="7">
        <f>IF($G684="正常",ROUND($H684/30,0)/2,"")</f>
        <v/>
      </c>
      <c r="K684" s="7">
        <f>IF($G684="正常",MIN($J684,12),"")</f>
        <v/>
      </c>
      <c r="L684" s="7">
        <f>IF($G684="正常",MAX($J684-12,0),"")</f>
        <v/>
      </c>
    </row>
    <row r="685">
      <c r="A685" s="3" t="inlineStr">
        <is>
          <t>曾令杰</t>
        </is>
      </c>
      <c r="B685" s="3" t="inlineStr">
        <is>
          <t>8/2</t>
        </is>
      </c>
      <c r="C685" s="3" t="inlineStr">
        <is>
          <t>日</t>
        </is>
      </c>
      <c r="D685" s="3" t="inlineStr">
        <is>
          <t>07:51 14:57</t>
        </is>
      </c>
      <c r="E685" s="4" t="n">
        <v>0.3270833333333333</v>
      </c>
      <c r="F685" s="4" t="n">
        <v>0.6229166666666667</v>
      </c>
      <c r="G685" s="3">
        <f>IF($E685="","空卡",IF($F685="","单卡","正常"))</f>
        <v/>
      </c>
      <c r="H685" s="5">
        <f>IF($G685="正常",ROUND(($F685-$E685)*1440,0),"")</f>
        <v/>
      </c>
      <c r="I685" s="6">
        <f>IF($G685="正常",$H685/60,"")</f>
        <v/>
      </c>
      <c r="J685" s="7">
        <f>IF($G685="正常",ROUND($H685/30,0)/2,"")</f>
        <v/>
      </c>
      <c r="K685" s="7">
        <f>IF($G685="正常",MIN($J685,12),"")</f>
        <v/>
      </c>
      <c r="L685" s="7">
        <f>IF($G685="正常",MAX($J685-12,0),"")</f>
        <v/>
      </c>
    </row>
    <row r="686">
      <c r="A686" s="8" t="inlineStr">
        <is>
          <t>曾令杰</t>
        </is>
      </c>
      <c r="B686" s="8" t="inlineStr">
        <is>
          <t>8/3</t>
        </is>
      </c>
      <c r="C686" s="8" t="inlineStr">
        <is>
          <t>一</t>
        </is>
      </c>
      <c r="D686" s="8" t="inlineStr"/>
      <c r="E686" s="9" t="n"/>
      <c r="F686" s="9" t="n"/>
      <c r="G686" s="10">
        <f>IF($E686="","空卡",IF($F686="","单卡","正常"))</f>
        <v/>
      </c>
      <c r="H686" s="11">
        <f>IF($G686="正常",ROUND(($F686-$E686)*1440,0),"")</f>
        <v/>
      </c>
      <c r="I686" s="12">
        <f>IF($G686="正常",$H686/60,"")</f>
        <v/>
      </c>
      <c r="J686" s="13">
        <f>IF($G686="正常",ROUND($H686/30,0)/2,"")</f>
        <v/>
      </c>
      <c r="K686" s="13">
        <f>IF($G686="正常",MIN($J686,12),"")</f>
        <v/>
      </c>
      <c r="L686" s="13">
        <f>IF($G686="正常",MAX($J686-12,0),"")</f>
        <v/>
      </c>
    </row>
    <row r="687">
      <c r="A687" s="8" t="inlineStr">
        <is>
          <t>曾令杰</t>
        </is>
      </c>
      <c r="B687" s="8" t="inlineStr">
        <is>
          <t>8/4</t>
        </is>
      </c>
      <c r="C687" s="8" t="inlineStr">
        <is>
          <t>二</t>
        </is>
      </c>
      <c r="D687" s="8" t="inlineStr"/>
      <c r="E687" s="9" t="n"/>
      <c r="F687" s="9" t="n"/>
      <c r="G687" s="10">
        <f>IF($E687="","空卡",IF($F687="","单卡","正常"))</f>
        <v/>
      </c>
      <c r="H687" s="11">
        <f>IF($G687="正常",ROUND(($F687-$E687)*1440,0),"")</f>
        <v/>
      </c>
      <c r="I687" s="12">
        <f>IF($G687="正常",$H687/60,"")</f>
        <v/>
      </c>
      <c r="J687" s="13">
        <f>IF($G687="正常",ROUND($H687/30,0)/2,"")</f>
        <v/>
      </c>
      <c r="K687" s="13">
        <f>IF($G687="正常",MIN($J687,12),"")</f>
        <v/>
      </c>
      <c r="L687" s="13">
        <f>IF($G687="正常",MAX($J687-12,0),"")</f>
        <v/>
      </c>
    </row>
    <row r="688">
      <c r="A688" s="8" t="inlineStr">
        <is>
          <t>曾令杰</t>
        </is>
      </c>
      <c r="B688" s="8" t="inlineStr">
        <is>
          <t>8/5</t>
        </is>
      </c>
      <c r="C688" s="8" t="inlineStr">
        <is>
          <t>三</t>
        </is>
      </c>
      <c r="D688" s="8" t="inlineStr"/>
      <c r="E688" s="9" t="n"/>
      <c r="F688" s="9" t="n"/>
      <c r="G688" s="10">
        <f>IF($E688="","空卡",IF($F688="","单卡","正常"))</f>
        <v/>
      </c>
      <c r="H688" s="11">
        <f>IF($G688="正常",ROUND(($F688-$E688)*1440,0),"")</f>
        <v/>
      </c>
      <c r="I688" s="12">
        <f>IF($G688="正常",$H688/60,"")</f>
        <v/>
      </c>
      <c r="J688" s="13">
        <f>IF($G688="正常",ROUND($H688/30,0)/2,"")</f>
        <v/>
      </c>
      <c r="K688" s="13">
        <f>IF($G688="正常",MIN($J688,12),"")</f>
        <v/>
      </c>
      <c r="L688" s="13">
        <f>IF($G688="正常",MAX($J688-12,0),"")</f>
        <v/>
      </c>
    </row>
    <row r="689">
      <c r="A689" s="8" t="inlineStr">
        <is>
          <t>曾令杰</t>
        </is>
      </c>
      <c r="B689" s="8" t="inlineStr">
        <is>
          <t>8/6</t>
        </is>
      </c>
      <c r="C689" s="8" t="inlineStr">
        <is>
          <t>四</t>
        </is>
      </c>
      <c r="D689" s="8" t="inlineStr"/>
      <c r="E689" s="9" t="n"/>
      <c r="F689" s="9" t="n"/>
      <c r="G689" s="10">
        <f>IF($E689="","空卡",IF($F689="","单卡","正常"))</f>
        <v/>
      </c>
      <c r="H689" s="11">
        <f>IF($G689="正常",ROUND(($F689-$E689)*1440,0),"")</f>
        <v/>
      </c>
      <c r="I689" s="12">
        <f>IF($G689="正常",$H689/60,"")</f>
        <v/>
      </c>
      <c r="J689" s="13">
        <f>IF($G689="正常",ROUND($H689/30,0)/2,"")</f>
        <v/>
      </c>
      <c r="K689" s="13">
        <f>IF($G689="正常",MIN($J689,12),"")</f>
        <v/>
      </c>
      <c r="L689" s="13">
        <f>IF($G689="正常",MAX($J689-12,0),"")</f>
        <v/>
      </c>
    </row>
    <row r="690">
      <c r="A690" s="8" t="inlineStr">
        <is>
          <t>曾令杰</t>
        </is>
      </c>
      <c r="B690" s="8" t="inlineStr">
        <is>
          <t>8/7</t>
        </is>
      </c>
      <c r="C690" s="8" t="inlineStr">
        <is>
          <t>五</t>
        </is>
      </c>
      <c r="D690" s="8" t="inlineStr"/>
      <c r="E690" s="9" t="n"/>
      <c r="F690" s="9" t="n"/>
      <c r="G690" s="10">
        <f>IF($E690="","空卡",IF($F690="","单卡","正常"))</f>
        <v/>
      </c>
      <c r="H690" s="11">
        <f>IF($G690="正常",ROUND(($F690-$E690)*1440,0),"")</f>
        <v/>
      </c>
      <c r="I690" s="12">
        <f>IF($G690="正常",$H690/60,"")</f>
        <v/>
      </c>
      <c r="J690" s="13">
        <f>IF($G690="正常",ROUND($H690/30,0)/2,"")</f>
        <v/>
      </c>
      <c r="K690" s="13">
        <f>IF($G690="正常",MIN($J690,12),"")</f>
        <v/>
      </c>
      <c r="L690" s="13">
        <f>IF($G690="正常",MAX($J690-12,0),"")</f>
        <v/>
      </c>
    </row>
    <row r="691">
      <c r="A691" s="8" t="inlineStr">
        <is>
          <t>曾令杰</t>
        </is>
      </c>
      <c r="B691" s="8" t="inlineStr">
        <is>
          <t>8/8</t>
        </is>
      </c>
      <c r="C691" s="8" t="inlineStr">
        <is>
          <t>六</t>
        </is>
      </c>
      <c r="D691" s="8" t="inlineStr"/>
      <c r="E691" s="9" t="n"/>
      <c r="F691" s="9" t="n"/>
      <c r="G691" s="10">
        <f>IF($E691="","空卡",IF($F691="","单卡","正常"))</f>
        <v/>
      </c>
      <c r="H691" s="11">
        <f>IF($G691="正常",ROUND(($F691-$E691)*1440,0),"")</f>
        <v/>
      </c>
      <c r="I691" s="12">
        <f>IF($G691="正常",$H691/60,"")</f>
        <v/>
      </c>
      <c r="J691" s="13">
        <f>IF($G691="正常",ROUND($H691/30,0)/2,"")</f>
        <v/>
      </c>
      <c r="K691" s="13">
        <f>IF($G691="正常",MIN($J691,12),"")</f>
        <v/>
      </c>
      <c r="L691" s="13">
        <f>IF($G691="正常",MAX($J691-12,0),"")</f>
        <v/>
      </c>
    </row>
    <row r="692">
      <c r="A692" s="8" t="inlineStr">
        <is>
          <t>曾令杰</t>
        </is>
      </c>
      <c r="B692" s="8" t="inlineStr">
        <is>
          <t>8/9</t>
        </is>
      </c>
      <c r="C692" s="8" t="inlineStr">
        <is>
          <t>日</t>
        </is>
      </c>
      <c r="D692" s="8" t="inlineStr"/>
      <c r="E692" s="9" t="n"/>
      <c r="F692" s="9" t="n"/>
      <c r="G692" s="10">
        <f>IF($E692="","空卡",IF($F692="","单卡","正常"))</f>
        <v/>
      </c>
      <c r="H692" s="11">
        <f>IF($G692="正常",ROUND(($F692-$E692)*1440,0),"")</f>
        <v/>
      </c>
      <c r="I692" s="12">
        <f>IF($G692="正常",$H692/60,"")</f>
        <v/>
      </c>
      <c r="J692" s="13">
        <f>IF($G692="正常",ROUND($H692/30,0)/2,"")</f>
        <v/>
      </c>
      <c r="K692" s="13">
        <f>IF($G692="正常",MIN($J692,12),"")</f>
        <v/>
      </c>
      <c r="L692" s="13">
        <f>IF($G692="正常",MAX($J692-12,0),"")</f>
        <v/>
      </c>
    </row>
    <row r="693">
      <c r="A693" s="3" t="inlineStr">
        <is>
          <t>曾令杰</t>
        </is>
      </c>
      <c r="B693" s="3" t="inlineStr">
        <is>
          <t>8/10</t>
        </is>
      </c>
      <c r="C693" s="3" t="inlineStr">
        <is>
          <t>一</t>
        </is>
      </c>
      <c r="D693" s="3" t="inlineStr">
        <is>
          <t>08:17 19:02</t>
        </is>
      </c>
      <c r="E693" s="4" t="n">
        <v>0.3451388888888889</v>
      </c>
      <c r="F693" s="4" t="n">
        <v>0.7930555555555555</v>
      </c>
      <c r="G693" s="3">
        <f>IF($E693="","空卡",IF($F693="","单卡","正常"))</f>
        <v/>
      </c>
      <c r="H693" s="5">
        <f>IF($G693="正常",ROUND(($F693-$E693)*1440,0),"")</f>
        <v/>
      </c>
      <c r="I693" s="6">
        <f>IF($G693="正常",$H693/60,"")</f>
        <v/>
      </c>
      <c r="J693" s="7">
        <f>IF($G693="正常",ROUND($H693/30,0)/2,"")</f>
        <v/>
      </c>
      <c r="K693" s="7">
        <f>IF($G693="正常",MIN($J693,12),"")</f>
        <v/>
      </c>
      <c r="L693" s="7">
        <f>IF($G693="正常",MAX($J693-12,0),"")</f>
        <v/>
      </c>
    </row>
    <row r="694">
      <c r="A694" s="3" t="inlineStr">
        <is>
          <t>曾令杰</t>
        </is>
      </c>
      <c r="B694" s="3" t="inlineStr">
        <is>
          <t>8/11</t>
        </is>
      </c>
      <c r="C694" s="3" t="inlineStr">
        <is>
          <t>二</t>
        </is>
      </c>
      <c r="D694" s="3" t="inlineStr">
        <is>
          <t>08:23 18:06</t>
        </is>
      </c>
      <c r="E694" s="4" t="n">
        <v>0.3493055555555555</v>
      </c>
      <c r="F694" s="4" t="n">
        <v>0.7541666666666667</v>
      </c>
      <c r="G694" s="3">
        <f>IF($E694="","空卡",IF($F694="","单卡","正常"))</f>
        <v/>
      </c>
      <c r="H694" s="5">
        <f>IF($G694="正常",ROUND(($F694-$E694)*1440,0),"")</f>
        <v/>
      </c>
      <c r="I694" s="6">
        <f>IF($G694="正常",$H694/60,"")</f>
        <v/>
      </c>
      <c r="J694" s="7">
        <f>IF($G694="正常",ROUND($H694/30,0)/2,"")</f>
        <v/>
      </c>
      <c r="K694" s="7">
        <f>IF($G694="正常",MIN($J694,12),"")</f>
        <v/>
      </c>
      <c r="L694" s="7">
        <f>IF($G694="正常",MAX($J694-12,0),"")</f>
        <v/>
      </c>
    </row>
    <row r="695">
      <c r="A695" s="3" t="inlineStr">
        <is>
          <t>曾令杰</t>
        </is>
      </c>
      <c r="B695" s="3" t="inlineStr">
        <is>
          <t>8/12</t>
        </is>
      </c>
      <c r="C695" s="3" t="inlineStr">
        <is>
          <t>三</t>
        </is>
      </c>
      <c r="D695" s="3" t="inlineStr">
        <is>
          <t>09:48 18:34</t>
        </is>
      </c>
      <c r="E695" s="4" t="n">
        <v>0.4083333333333333</v>
      </c>
      <c r="F695" s="4" t="n">
        <v>0.7736111111111111</v>
      </c>
      <c r="G695" s="3">
        <f>IF($E695="","空卡",IF($F695="","单卡","正常"))</f>
        <v/>
      </c>
      <c r="H695" s="5">
        <f>IF($G695="正常",ROUND(($F695-$E695)*1440,0),"")</f>
        <v/>
      </c>
      <c r="I695" s="6">
        <f>IF($G695="正常",$H695/60,"")</f>
        <v/>
      </c>
      <c r="J695" s="7">
        <f>IF($G695="正常",ROUND($H695/30,0)/2,"")</f>
        <v/>
      </c>
      <c r="K695" s="7">
        <f>IF($G695="正常",MIN($J695,12),"")</f>
        <v/>
      </c>
      <c r="L695" s="7">
        <f>IF($G695="正常",MAX($J695-12,0),"")</f>
        <v/>
      </c>
    </row>
    <row r="696">
      <c r="A696" s="8" t="inlineStr">
        <is>
          <t>曾令杰</t>
        </is>
      </c>
      <c r="B696" s="8" t="inlineStr">
        <is>
          <t>8/13</t>
        </is>
      </c>
      <c r="C696" s="8" t="inlineStr">
        <is>
          <t>四</t>
        </is>
      </c>
      <c r="D696" s="8" t="inlineStr">
        <is>
          <t>08:24</t>
        </is>
      </c>
      <c r="E696" s="9" t="n">
        <v>0.35</v>
      </c>
      <c r="F696" s="9" t="n"/>
      <c r="G696" s="10">
        <f>IF($E696="","空卡",IF($F696="","单卡","正常"))</f>
        <v/>
      </c>
      <c r="H696" s="11">
        <f>IF($G696="正常",ROUND(($F696-$E696)*1440,0),"")</f>
        <v/>
      </c>
      <c r="I696" s="12">
        <f>IF($G696="正常",$H696/60,"")</f>
        <v/>
      </c>
      <c r="J696" s="13">
        <f>IF($G696="正常",ROUND($H696/30,0)/2,"")</f>
        <v/>
      </c>
      <c r="K696" s="13">
        <f>IF($G696="正常",MIN($J696,12),"")</f>
        <v/>
      </c>
      <c r="L696" s="13">
        <f>IF($G696="正常",MAX($J696-12,0),"")</f>
        <v/>
      </c>
    </row>
    <row r="697">
      <c r="A697" s="3" t="inlineStr">
        <is>
          <t>曾令杰</t>
        </is>
      </c>
      <c r="B697" s="3" t="inlineStr">
        <is>
          <t>8/14</t>
        </is>
      </c>
      <c r="C697" s="3" t="inlineStr">
        <is>
          <t>五</t>
        </is>
      </c>
      <c r="D697" s="3" t="inlineStr">
        <is>
          <t>08:22 20:01</t>
        </is>
      </c>
      <c r="E697" s="4" t="n">
        <v>0.3486111111111111</v>
      </c>
      <c r="F697" s="4" t="n">
        <v>0.8340277777777778</v>
      </c>
      <c r="G697" s="3">
        <f>IF($E697="","空卡",IF($F697="","单卡","正常"))</f>
        <v/>
      </c>
      <c r="H697" s="5">
        <f>IF($G697="正常",ROUND(($F697-$E697)*1440,0),"")</f>
        <v/>
      </c>
      <c r="I697" s="6">
        <f>IF($G697="正常",$H697/60,"")</f>
        <v/>
      </c>
      <c r="J697" s="7">
        <f>IF($G697="正常",ROUND($H697/30,0)/2,"")</f>
        <v/>
      </c>
      <c r="K697" s="7">
        <f>IF($G697="正常",MIN($J697,12),"")</f>
        <v/>
      </c>
      <c r="L697" s="7">
        <f>IF($G697="正常",MAX($J697-12,0),"")</f>
        <v/>
      </c>
    </row>
    <row r="698">
      <c r="A698" s="3" t="inlineStr">
        <is>
          <t>曾令杰</t>
        </is>
      </c>
      <c r="B698" s="3" t="inlineStr">
        <is>
          <t>8/15</t>
        </is>
      </c>
      <c r="C698" s="3" t="inlineStr">
        <is>
          <t>六</t>
        </is>
      </c>
      <c r="D698" s="3" t="inlineStr">
        <is>
          <t>06:55 18:33</t>
        </is>
      </c>
      <c r="E698" s="4" t="n">
        <v>0.2881944444444444</v>
      </c>
      <c r="F698" s="4" t="n">
        <v>0.7729166666666667</v>
      </c>
      <c r="G698" s="3">
        <f>IF($E698="","空卡",IF($F698="","单卡","正常"))</f>
        <v/>
      </c>
      <c r="H698" s="5">
        <f>IF($G698="正常",ROUND(($F698-$E698)*1440,0),"")</f>
        <v/>
      </c>
      <c r="I698" s="6">
        <f>IF($G698="正常",$H698/60,"")</f>
        <v/>
      </c>
      <c r="J698" s="7">
        <f>IF($G698="正常",ROUND($H698/30,0)/2,"")</f>
        <v/>
      </c>
      <c r="K698" s="7">
        <f>IF($G698="正常",MIN($J698,12),"")</f>
        <v/>
      </c>
      <c r="L698" s="7">
        <f>IF($G698="正常",MAX($J698-12,0),"")</f>
        <v/>
      </c>
    </row>
    <row r="699">
      <c r="A699" s="8" t="inlineStr">
        <is>
          <t>曾令杰</t>
        </is>
      </c>
      <c r="B699" s="8" t="inlineStr">
        <is>
          <t>8/16</t>
        </is>
      </c>
      <c r="C699" s="8" t="inlineStr">
        <is>
          <t>日</t>
        </is>
      </c>
      <c r="D699" s="8" t="inlineStr"/>
      <c r="E699" s="9" t="n"/>
      <c r="F699" s="9" t="n"/>
      <c r="G699" s="10">
        <f>IF($E699="","空卡",IF($F699="","单卡","正常"))</f>
        <v/>
      </c>
      <c r="H699" s="11">
        <f>IF($G699="正常",ROUND(($F699-$E699)*1440,0),"")</f>
        <v/>
      </c>
      <c r="I699" s="12">
        <f>IF($G699="正常",$H699/60,"")</f>
        <v/>
      </c>
      <c r="J699" s="13">
        <f>IF($G699="正常",ROUND($H699/30,0)/2,"")</f>
        <v/>
      </c>
      <c r="K699" s="13">
        <f>IF($G699="正常",MIN($J699,12),"")</f>
        <v/>
      </c>
      <c r="L699" s="13">
        <f>IF($G699="正常",MAX($J699-12,0),"")</f>
        <v/>
      </c>
    </row>
    <row r="700">
      <c r="A700" s="3" t="inlineStr">
        <is>
          <t>曾令杰</t>
        </is>
      </c>
      <c r="B700" s="3" t="inlineStr">
        <is>
          <t>8/17</t>
        </is>
      </c>
      <c r="C700" s="3" t="inlineStr">
        <is>
          <t>一</t>
        </is>
      </c>
      <c r="D700" s="3" t="inlineStr">
        <is>
          <t>07:46 19:03</t>
        </is>
      </c>
      <c r="E700" s="4" t="n">
        <v>0.3236111111111111</v>
      </c>
      <c r="F700" s="4" t="n">
        <v>0.79375</v>
      </c>
      <c r="G700" s="3">
        <f>IF($E700="","空卡",IF($F700="","单卡","正常"))</f>
        <v/>
      </c>
      <c r="H700" s="5">
        <f>IF($G700="正常",ROUND(($F700-$E700)*1440,0),"")</f>
        <v/>
      </c>
      <c r="I700" s="6">
        <f>IF($G700="正常",$H700/60,"")</f>
        <v/>
      </c>
      <c r="J700" s="7">
        <f>IF($G700="正常",ROUND($H700/30,0)/2,"")</f>
        <v/>
      </c>
      <c r="K700" s="7">
        <f>IF($G700="正常",MIN($J700,12),"")</f>
        <v/>
      </c>
      <c r="L700" s="7">
        <f>IF($G700="正常",MAX($J700-12,0),"")</f>
        <v/>
      </c>
    </row>
    <row r="701">
      <c r="A701" s="3" t="inlineStr">
        <is>
          <t>曾令杰</t>
        </is>
      </c>
      <c r="B701" s="3" t="inlineStr">
        <is>
          <t>8/18</t>
        </is>
      </c>
      <c r="C701" s="3" t="inlineStr">
        <is>
          <t>二</t>
        </is>
      </c>
      <c r="D701" s="3" t="inlineStr">
        <is>
          <t>07:52 18:57</t>
        </is>
      </c>
      <c r="E701" s="4" t="n">
        <v>0.3277777777777778</v>
      </c>
      <c r="F701" s="4" t="n">
        <v>0.7895833333333333</v>
      </c>
      <c r="G701" s="3">
        <f>IF($E701="","空卡",IF($F701="","单卡","正常"))</f>
        <v/>
      </c>
      <c r="H701" s="5">
        <f>IF($G701="正常",ROUND(($F701-$E701)*1440,0),"")</f>
        <v/>
      </c>
      <c r="I701" s="6">
        <f>IF($G701="正常",$H701/60,"")</f>
        <v/>
      </c>
      <c r="J701" s="7">
        <f>IF($G701="正常",ROUND($H701/30,0)/2,"")</f>
        <v/>
      </c>
      <c r="K701" s="7">
        <f>IF($G701="正常",MIN($J701,12),"")</f>
        <v/>
      </c>
      <c r="L701" s="7">
        <f>IF($G701="正常",MAX($J701-12,0),"")</f>
        <v/>
      </c>
    </row>
    <row r="702">
      <c r="A702" s="3" t="inlineStr">
        <is>
          <t>曾令杰</t>
        </is>
      </c>
      <c r="B702" s="3" t="inlineStr">
        <is>
          <t>8/19</t>
        </is>
      </c>
      <c r="C702" s="3" t="inlineStr">
        <is>
          <t>三</t>
        </is>
      </c>
      <c r="D702" s="3" t="inlineStr">
        <is>
          <t>07:26 18:36</t>
        </is>
      </c>
      <c r="E702" s="4" t="n">
        <v>0.3097222222222222</v>
      </c>
      <c r="F702" s="4" t="n">
        <v>0.775</v>
      </c>
      <c r="G702" s="3">
        <f>IF($E702="","空卡",IF($F702="","单卡","正常"))</f>
        <v/>
      </c>
      <c r="H702" s="5">
        <f>IF($G702="正常",ROUND(($F702-$E702)*1440,0),"")</f>
        <v/>
      </c>
      <c r="I702" s="6">
        <f>IF($G702="正常",$H702/60,"")</f>
        <v/>
      </c>
      <c r="J702" s="7">
        <f>IF($G702="正常",ROUND($H702/30,0)/2,"")</f>
        <v/>
      </c>
      <c r="K702" s="7">
        <f>IF($G702="正常",MIN($J702,12),"")</f>
        <v/>
      </c>
      <c r="L702" s="7">
        <f>IF($G702="正常",MAX($J702-12,0),"")</f>
        <v/>
      </c>
    </row>
    <row r="703">
      <c r="A703" s="3" t="inlineStr">
        <is>
          <t>曾令杰</t>
        </is>
      </c>
      <c r="B703" s="3" t="inlineStr">
        <is>
          <t>8/20</t>
        </is>
      </c>
      <c r="C703" s="3" t="inlineStr">
        <is>
          <t>四</t>
        </is>
      </c>
      <c r="D703" s="3" t="inlineStr">
        <is>
          <t>10:22 19:32</t>
        </is>
      </c>
      <c r="E703" s="4" t="n">
        <v>0.4319444444444445</v>
      </c>
      <c r="F703" s="4" t="n">
        <v>0.8138888888888889</v>
      </c>
      <c r="G703" s="3">
        <f>IF($E703="","空卡",IF($F703="","单卡","正常"))</f>
        <v/>
      </c>
      <c r="H703" s="5">
        <f>IF($G703="正常",ROUND(($F703-$E703)*1440,0),"")</f>
        <v/>
      </c>
      <c r="I703" s="6">
        <f>IF($G703="正常",$H703/60,"")</f>
        <v/>
      </c>
      <c r="J703" s="7">
        <f>IF($G703="正常",ROUND($H703/30,0)/2,"")</f>
        <v/>
      </c>
      <c r="K703" s="7">
        <f>IF($G703="正常",MIN($J703,12),"")</f>
        <v/>
      </c>
      <c r="L703" s="7">
        <f>IF($G703="正常",MAX($J703-12,0),"")</f>
        <v/>
      </c>
    </row>
    <row r="704">
      <c r="A704" s="3" t="inlineStr">
        <is>
          <t>曾令杰</t>
        </is>
      </c>
      <c r="B704" s="3" t="inlineStr">
        <is>
          <t>8/21</t>
        </is>
      </c>
      <c r="C704" s="3" t="inlineStr">
        <is>
          <t>五</t>
        </is>
      </c>
      <c r="D704" s="3" t="inlineStr">
        <is>
          <t>06:53 19:02</t>
        </is>
      </c>
      <c r="E704" s="4" t="n">
        <v>0.2868055555555555</v>
      </c>
      <c r="F704" s="4" t="n">
        <v>0.7930555555555555</v>
      </c>
      <c r="G704" s="3">
        <f>IF($E704="","空卡",IF($F704="","单卡","正常"))</f>
        <v/>
      </c>
      <c r="H704" s="5">
        <f>IF($G704="正常",ROUND(($F704-$E704)*1440,0),"")</f>
        <v/>
      </c>
      <c r="I704" s="6">
        <f>IF($G704="正常",$H704/60,"")</f>
        <v/>
      </c>
      <c r="J704" s="7">
        <f>IF($G704="正常",ROUND($H704/30,0)/2,"")</f>
        <v/>
      </c>
      <c r="K704" s="7">
        <f>IF($G704="正常",MIN($J704,12),"")</f>
        <v/>
      </c>
      <c r="L704" s="7">
        <f>IF($G704="正常",MAX($J704-12,0),"")</f>
        <v/>
      </c>
    </row>
    <row r="705">
      <c r="A705" s="3" t="inlineStr">
        <is>
          <t>曾令杰</t>
        </is>
      </c>
      <c r="B705" s="3" t="inlineStr">
        <is>
          <t>8/22</t>
        </is>
      </c>
      <c r="C705" s="3" t="inlineStr">
        <is>
          <t>六</t>
        </is>
      </c>
      <c r="D705" s="3" t="inlineStr">
        <is>
          <t>06:55 18:30</t>
        </is>
      </c>
      <c r="E705" s="4" t="n">
        <v>0.2881944444444444</v>
      </c>
      <c r="F705" s="4" t="n">
        <v>0.7708333333333334</v>
      </c>
      <c r="G705" s="3">
        <f>IF($E705="","空卡",IF($F705="","单卡","正常"))</f>
        <v/>
      </c>
      <c r="H705" s="5">
        <f>IF($G705="正常",ROUND(($F705-$E705)*1440,0),"")</f>
        <v/>
      </c>
      <c r="I705" s="6">
        <f>IF($G705="正常",$H705/60,"")</f>
        <v/>
      </c>
      <c r="J705" s="7">
        <f>IF($G705="正常",ROUND($H705/30,0)/2,"")</f>
        <v/>
      </c>
      <c r="K705" s="7">
        <f>IF($G705="正常",MIN($J705,12),"")</f>
        <v/>
      </c>
      <c r="L705" s="7">
        <f>IF($G705="正常",MAX($J705-12,0),"")</f>
        <v/>
      </c>
    </row>
    <row r="706">
      <c r="A706" s="8" t="inlineStr">
        <is>
          <t>曾令杰</t>
        </is>
      </c>
      <c r="B706" s="8" t="inlineStr">
        <is>
          <t>8/23</t>
        </is>
      </c>
      <c r="C706" s="8" t="inlineStr">
        <is>
          <t>日</t>
        </is>
      </c>
      <c r="D706" s="8" t="inlineStr"/>
      <c r="E706" s="9" t="n"/>
      <c r="F706" s="9" t="n"/>
      <c r="G706" s="10">
        <f>IF($E706="","空卡",IF($F706="","单卡","正常"))</f>
        <v/>
      </c>
      <c r="H706" s="11">
        <f>IF($G706="正常",ROUND(($F706-$E706)*1440,0),"")</f>
        <v/>
      </c>
      <c r="I706" s="12">
        <f>IF($G706="正常",$H706/60,"")</f>
        <v/>
      </c>
      <c r="J706" s="13">
        <f>IF($G706="正常",ROUND($H706/30,0)/2,"")</f>
        <v/>
      </c>
      <c r="K706" s="13">
        <f>IF($G706="正常",MIN($J706,12),"")</f>
        <v/>
      </c>
      <c r="L706" s="13">
        <f>IF($G706="正常",MAX($J706-12,0),"")</f>
        <v/>
      </c>
    </row>
    <row r="707">
      <c r="A707" s="3" t="inlineStr">
        <is>
          <t>曾令杰</t>
        </is>
      </c>
      <c r="B707" s="3" t="inlineStr">
        <is>
          <t>8/24</t>
        </is>
      </c>
      <c r="C707" s="3" t="inlineStr">
        <is>
          <t>一</t>
        </is>
      </c>
      <c r="D707" s="3" t="inlineStr">
        <is>
          <t>06:54 16:36</t>
        </is>
      </c>
      <c r="E707" s="4" t="n">
        <v>0.2875</v>
      </c>
      <c r="F707" s="4" t="n">
        <v>0.6916666666666667</v>
      </c>
      <c r="G707" s="3">
        <f>IF($E707="","空卡",IF($F707="","单卡","正常"))</f>
        <v/>
      </c>
      <c r="H707" s="5">
        <f>IF($G707="正常",ROUND(($F707-$E707)*1440,0),"")</f>
        <v/>
      </c>
      <c r="I707" s="6">
        <f>IF($G707="正常",$H707/60,"")</f>
        <v/>
      </c>
      <c r="J707" s="7">
        <f>IF($G707="正常",ROUND($H707/30,0)/2,"")</f>
        <v/>
      </c>
      <c r="K707" s="7">
        <f>IF($G707="正常",MIN($J707,12),"")</f>
        <v/>
      </c>
      <c r="L707" s="7">
        <f>IF($G707="正常",MAX($J707-12,0),"")</f>
        <v/>
      </c>
    </row>
    <row r="708">
      <c r="A708" s="3" t="inlineStr">
        <is>
          <t>曾令杰</t>
        </is>
      </c>
      <c r="B708" s="3" t="inlineStr">
        <is>
          <t>8/25</t>
        </is>
      </c>
      <c r="C708" s="3" t="inlineStr">
        <is>
          <t>二</t>
        </is>
      </c>
      <c r="D708" s="3" t="inlineStr">
        <is>
          <t>08:45 18:34</t>
        </is>
      </c>
      <c r="E708" s="4" t="n">
        <v>0.3645833333333333</v>
      </c>
      <c r="F708" s="4" t="n">
        <v>0.7736111111111111</v>
      </c>
      <c r="G708" s="3">
        <f>IF($E708="","空卡",IF($F708="","单卡","正常"))</f>
        <v/>
      </c>
      <c r="H708" s="5">
        <f>IF($G708="正常",ROUND(($F708-$E708)*1440,0),"")</f>
        <v/>
      </c>
      <c r="I708" s="6">
        <f>IF($G708="正常",$H708/60,"")</f>
        <v/>
      </c>
      <c r="J708" s="7">
        <f>IF($G708="正常",ROUND($H708/30,0)/2,"")</f>
        <v/>
      </c>
      <c r="K708" s="7">
        <f>IF($G708="正常",MIN($J708,12),"")</f>
        <v/>
      </c>
      <c r="L708" s="7">
        <f>IF($G708="正常",MAX($J708-12,0),"")</f>
        <v/>
      </c>
    </row>
    <row r="709">
      <c r="A709" s="3" t="inlineStr">
        <is>
          <t>曾令杰</t>
        </is>
      </c>
      <c r="B709" s="3" t="inlineStr">
        <is>
          <t>8/26</t>
        </is>
      </c>
      <c r="C709" s="3" t="inlineStr">
        <is>
          <t>三</t>
        </is>
      </c>
      <c r="D709" s="3" t="inlineStr">
        <is>
          <t>07:53 18:58</t>
        </is>
      </c>
      <c r="E709" s="4" t="n">
        <v>0.3284722222222222</v>
      </c>
      <c r="F709" s="4" t="n">
        <v>0.7902777777777777</v>
      </c>
      <c r="G709" s="3">
        <f>IF($E709="","空卡",IF($F709="","单卡","正常"))</f>
        <v/>
      </c>
      <c r="H709" s="5">
        <f>IF($G709="正常",ROUND(($F709-$E709)*1440,0),"")</f>
        <v/>
      </c>
      <c r="I709" s="6">
        <f>IF($G709="正常",$H709/60,"")</f>
        <v/>
      </c>
      <c r="J709" s="7">
        <f>IF($G709="正常",ROUND($H709/30,0)/2,"")</f>
        <v/>
      </c>
      <c r="K709" s="7">
        <f>IF($G709="正常",MIN($J709,12),"")</f>
        <v/>
      </c>
      <c r="L709" s="7">
        <f>IF($G709="正常",MAX($J709-12,0),"")</f>
        <v/>
      </c>
    </row>
    <row r="710">
      <c r="A710" s="3" t="inlineStr">
        <is>
          <t>曾令杰</t>
        </is>
      </c>
      <c r="B710" s="3" t="inlineStr">
        <is>
          <t>8/27</t>
        </is>
      </c>
      <c r="C710" s="3" t="inlineStr">
        <is>
          <t>四</t>
        </is>
      </c>
      <c r="D710" s="3" t="inlineStr">
        <is>
          <t>07:52 19:01</t>
        </is>
      </c>
      <c r="E710" s="4" t="n">
        <v>0.3277777777777778</v>
      </c>
      <c r="F710" s="4" t="n">
        <v>0.7923611111111111</v>
      </c>
      <c r="G710" s="3">
        <f>IF($E710="","空卡",IF($F710="","单卡","正常"))</f>
        <v/>
      </c>
      <c r="H710" s="5">
        <f>IF($G710="正常",ROUND(($F710-$E710)*1440,0),"")</f>
        <v/>
      </c>
      <c r="I710" s="6">
        <f>IF($G710="正常",$H710/60,"")</f>
        <v/>
      </c>
      <c r="J710" s="7">
        <f>IF($G710="正常",ROUND($H710/30,0)/2,"")</f>
        <v/>
      </c>
      <c r="K710" s="7">
        <f>IF($G710="正常",MIN($J710,12),"")</f>
        <v/>
      </c>
      <c r="L710" s="7">
        <f>IF($G710="正常",MAX($J710-12,0),"")</f>
        <v/>
      </c>
    </row>
    <row r="711">
      <c r="A711" s="3" t="inlineStr">
        <is>
          <t>曾令杰</t>
        </is>
      </c>
      <c r="B711" s="3" t="inlineStr">
        <is>
          <t>8/28</t>
        </is>
      </c>
      <c r="C711" s="3" t="inlineStr">
        <is>
          <t>五</t>
        </is>
      </c>
      <c r="D711" s="3" t="inlineStr">
        <is>
          <t>07:49 18:27</t>
        </is>
      </c>
      <c r="E711" s="4" t="n">
        <v>0.3256944444444445</v>
      </c>
      <c r="F711" s="4" t="n">
        <v>0.76875</v>
      </c>
      <c r="G711" s="3">
        <f>IF($E711="","空卡",IF($F711="","单卡","正常"))</f>
        <v/>
      </c>
      <c r="H711" s="5">
        <f>IF($G711="正常",ROUND(($F711-$E711)*1440,0),"")</f>
        <v/>
      </c>
      <c r="I711" s="6">
        <f>IF($G711="正常",$H711/60,"")</f>
        <v/>
      </c>
      <c r="J711" s="7">
        <f>IF($G711="正常",ROUND($H711/30,0)/2,"")</f>
        <v/>
      </c>
      <c r="K711" s="7">
        <f>IF($G711="正常",MIN($J711,12),"")</f>
        <v/>
      </c>
      <c r="L711" s="7">
        <f>IF($G711="正常",MAX($J711-12,0),"")</f>
        <v/>
      </c>
    </row>
    <row r="712">
      <c r="A712" s="8" t="inlineStr">
        <is>
          <t>曾令杰</t>
        </is>
      </c>
      <c r="B712" s="8" t="inlineStr">
        <is>
          <t>8/29</t>
        </is>
      </c>
      <c r="C712" s="8" t="inlineStr">
        <is>
          <t>六</t>
        </is>
      </c>
      <c r="D712" s="8" t="inlineStr"/>
      <c r="E712" s="9" t="n"/>
      <c r="F712" s="9" t="n"/>
      <c r="G712" s="10">
        <f>IF($E712="","空卡",IF($F712="","单卡","正常"))</f>
        <v/>
      </c>
      <c r="H712" s="11">
        <f>IF($G712="正常",ROUND(($F712-$E712)*1440,0),"")</f>
        <v/>
      </c>
      <c r="I712" s="12">
        <f>IF($G712="正常",$H712/60,"")</f>
        <v/>
      </c>
      <c r="J712" s="13">
        <f>IF($G712="正常",ROUND($H712/30,0)/2,"")</f>
        <v/>
      </c>
      <c r="K712" s="13">
        <f>IF($G712="正常",MIN($J712,12),"")</f>
        <v/>
      </c>
      <c r="L712" s="13">
        <f>IF($G712="正常",MAX($J712-12,0),"")</f>
        <v/>
      </c>
    </row>
    <row r="713">
      <c r="A713" s="3" t="inlineStr">
        <is>
          <t>曾令杰</t>
        </is>
      </c>
      <c r="B713" s="3" t="inlineStr">
        <is>
          <t>8/30</t>
        </is>
      </c>
      <c r="C713" s="3" t="inlineStr">
        <is>
          <t>日</t>
        </is>
      </c>
      <c r="D713" s="3" t="inlineStr">
        <is>
          <t>07:56 18:53</t>
        </is>
      </c>
      <c r="E713" s="4" t="n">
        <v>0.3305555555555555</v>
      </c>
      <c r="F713" s="4" t="n">
        <v>0.7868055555555555</v>
      </c>
      <c r="G713" s="3">
        <f>IF($E713="","空卡",IF($F713="","单卡","正常"))</f>
        <v/>
      </c>
      <c r="H713" s="5">
        <f>IF($G713="正常",ROUND(($F713-$E713)*1440,0),"")</f>
        <v/>
      </c>
      <c r="I713" s="6">
        <f>IF($G713="正常",$H713/60,"")</f>
        <v/>
      </c>
      <c r="J713" s="7">
        <f>IF($G713="正常",ROUND($H713/30,0)/2,"")</f>
        <v/>
      </c>
      <c r="K713" s="7">
        <f>IF($G713="正常",MIN($J713,12),"")</f>
        <v/>
      </c>
      <c r="L713" s="7">
        <f>IF($G713="正常",MAX($J713-12,0),"")</f>
        <v/>
      </c>
    </row>
    <row r="714">
      <c r="A714" s="8" t="inlineStr">
        <is>
          <t>曾令杰</t>
        </is>
      </c>
      <c r="B714" s="8" t="inlineStr">
        <is>
          <t>8/31</t>
        </is>
      </c>
      <c r="C714" s="8" t="inlineStr">
        <is>
          <t>一</t>
        </is>
      </c>
      <c r="D714" s="8" t="inlineStr"/>
      <c r="E714" s="9" t="n"/>
      <c r="F714" s="9" t="n"/>
      <c r="G714" s="10">
        <f>IF($E714="","空卡",IF($F714="","单卡","正常"))</f>
        <v/>
      </c>
      <c r="H714" s="11">
        <f>IF($G714="正常",ROUND(($F714-$E714)*1440,0),"")</f>
        <v/>
      </c>
      <c r="I714" s="12">
        <f>IF($G714="正常",$H714/60,"")</f>
        <v/>
      </c>
      <c r="J714" s="13">
        <f>IF($G714="正常",ROUND($H714/30,0)/2,"")</f>
        <v/>
      </c>
      <c r="K714" s="13">
        <f>IF($G714="正常",MIN($J714,12),"")</f>
        <v/>
      </c>
      <c r="L714" s="13">
        <f>IF($G714="正常",MAX($J714-12,0),"")</f>
        <v/>
      </c>
    </row>
    <row r="715">
      <c r="A715" s="8" t="inlineStr">
        <is>
          <t>陈帮兰</t>
        </is>
      </c>
      <c r="B715" s="8" t="inlineStr">
        <is>
          <t>8/1</t>
        </is>
      </c>
      <c r="C715" s="8" t="inlineStr">
        <is>
          <t>六</t>
        </is>
      </c>
      <c r="D715" s="8" t="inlineStr"/>
      <c r="E715" s="9" t="n"/>
      <c r="F715" s="9" t="n"/>
      <c r="G715" s="10">
        <f>IF($E715="","空卡",IF($F715="","单卡","正常"))</f>
        <v/>
      </c>
      <c r="H715" s="11">
        <f>IF($G715="正常",ROUND(($F715-$E715)*1440,0),"")</f>
        <v/>
      </c>
      <c r="I715" s="12">
        <f>IF($G715="正常",$H715/60,"")</f>
        <v/>
      </c>
      <c r="J715" s="13">
        <f>IF($G715="正常",ROUND($H715/30,0)/2,"")</f>
        <v/>
      </c>
      <c r="K715" s="13">
        <f>IF($G715="正常",MIN($J715,12),"")</f>
        <v/>
      </c>
      <c r="L715" s="13">
        <f>IF($G715="正常",MAX($J715-12,0),"")</f>
        <v/>
      </c>
    </row>
    <row r="716">
      <c r="A716" s="3" t="inlineStr">
        <is>
          <t>陈帮兰</t>
        </is>
      </c>
      <c r="B716" s="3" t="inlineStr">
        <is>
          <t>8/2</t>
        </is>
      </c>
      <c r="C716" s="3" t="inlineStr">
        <is>
          <t>日</t>
        </is>
      </c>
      <c r="D716" s="3" t="inlineStr">
        <is>
          <t>07:49 14:58</t>
        </is>
      </c>
      <c r="E716" s="4" t="n">
        <v>0.3256944444444445</v>
      </c>
      <c r="F716" s="4" t="n">
        <v>0.6236111111111111</v>
      </c>
      <c r="G716" s="3">
        <f>IF($E716="","空卡",IF($F716="","单卡","正常"))</f>
        <v/>
      </c>
      <c r="H716" s="5">
        <f>IF($G716="正常",ROUND(($F716-$E716)*1440,0),"")</f>
        <v/>
      </c>
      <c r="I716" s="6">
        <f>IF($G716="正常",$H716/60,"")</f>
        <v/>
      </c>
      <c r="J716" s="7">
        <f>IF($G716="正常",ROUND($H716/30,0)/2,"")</f>
        <v/>
      </c>
      <c r="K716" s="7">
        <f>IF($G716="正常",MIN($J716,12),"")</f>
        <v/>
      </c>
      <c r="L716" s="7">
        <f>IF($G716="正常",MAX($J716-12,0),"")</f>
        <v/>
      </c>
    </row>
    <row r="717">
      <c r="A717" s="8" t="inlineStr">
        <is>
          <t>陈帮兰</t>
        </is>
      </c>
      <c r="B717" s="8" t="inlineStr">
        <is>
          <t>8/3</t>
        </is>
      </c>
      <c r="C717" s="8" t="inlineStr">
        <is>
          <t>一</t>
        </is>
      </c>
      <c r="D717" s="8" t="inlineStr"/>
      <c r="E717" s="9" t="n"/>
      <c r="F717" s="9" t="n"/>
      <c r="G717" s="10">
        <f>IF($E717="","空卡",IF($F717="","单卡","正常"))</f>
        <v/>
      </c>
      <c r="H717" s="11">
        <f>IF($G717="正常",ROUND(($F717-$E717)*1440,0),"")</f>
        <v/>
      </c>
      <c r="I717" s="12">
        <f>IF($G717="正常",$H717/60,"")</f>
        <v/>
      </c>
      <c r="J717" s="13">
        <f>IF($G717="正常",ROUND($H717/30,0)/2,"")</f>
        <v/>
      </c>
      <c r="K717" s="13">
        <f>IF($G717="正常",MIN($J717,12),"")</f>
        <v/>
      </c>
      <c r="L717" s="13">
        <f>IF($G717="正常",MAX($J717-12,0),"")</f>
        <v/>
      </c>
    </row>
    <row r="718">
      <c r="A718" s="8" t="inlineStr">
        <is>
          <t>陈帮兰</t>
        </is>
      </c>
      <c r="B718" s="8" t="inlineStr">
        <is>
          <t>8/4</t>
        </is>
      </c>
      <c r="C718" s="8" t="inlineStr">
        <is>
          <t>二</t>
        </is>
      </c>
      <c r="D718" s="8" t="inlineStr"/>
      <c r="E718" s="9" t="n"/>
      <c r="F718" s="9" t="n"/>
      <c r="G718" s="10">
        <f>IF($E718="","空卡",IF($F718="","单卡","正常"))</f>
        <v/>
      </c>
      <c r="H718" s="11">
        <f>IF($G718="正常",ROUND(($F718-$E718)*1440,0),"")</f>
        <v/>
      </c>
      <c r="I718" s="12">
        <f>IF($G718="正常",$H718/60,"")</f>
        <v/>
      </c>
      <c r="J718" s="13">
        <f>IF($G718="正常",ROUND($H718/30,0)/2,"")</f>
        <v/>
      </c>
      <c r="K718" s="13">
        <f>IF($G718="正常",MIN($J718,12),"")</f>
        <v/>
      </c>
      <c r="L718" s="13">
        <f>IF($G718="正常",MAX($J718-12,0),"")</f>
        <v/>
      </c>
    </row>
    <row r="719">
      <c r="A719" s="8" t="inlineStr">
        <is>
          <t>陈帮兰</t>
        </is>
      </c>
      <c r="B719" s="8" t="inlineStr">
        <is>
          <t>8/5</t>
        </is>
      </c>
      <c r="C719" s="8" t="inlineStr">
        <is>
          <t>三</t>
        </is>
      </c>
      <c r="D719" s="8" t="inlineStr"/>
      <c r="E719" s="9" t="n"/>
      <c r="F719" s="9" t="n"/>
      <c r="G719" s="10">
        <f>IF($E719="","空卡",IF($F719="","单卡","正常"))</f>
        <v/>
      </c>
      <c r="H719" s="11">
        <f>IF($G719="正常",ROUND(($F719-$E719)*1440,0),"")</f>
        <v/>
      </c>
      <c r="I719" s="12">
        <f>IF($G719="正常",$H719/60,"")</f>
        <v/>
      </c>
      <c r="J719" s="13">
        <f>IF($G719="正常",ROUND($H719/30,0)/2,"")</f>
        <v/>
      </c>
      <c r="K719" s="13">
        <f>IF($G719="正常",MIN($J719,12),"")</f>
        <v/>
      </c>
      <c r="L719" s="13">
        <f>IF($G719="正常",MAX($J719-12,0),"")</f>
        <v/>
      </c>
    </row>
    <row r="720">
      <c r="A720" s="3" t="inlineStr">
        <is>
          <t>陈帮兰</t>
        </is>
      </c>
      <c r="B720" s="3" t="inlineStr">
        <is>
          <t>8/6</t>
        </is>
      </c>
      <c r="C720" s="3" t="inlineStr">
        <is>
          <t>四</t>
        </is>
      </c>
      <c r="D720" s="3" t="inlineStr">
        <is>
          <t>08:50 19:32</t>
        </is>
      </c>
      <c r="E720" s="4" t="n">
        <v>0.3680555555555556</v>
      </c>
      <c r="F720" s="4" t="n">
        <v>0.8138888888888889</v>
      </c>
      <c r="G720" s="3">
        <f>IF($E720="","空卡",IF($F720="","单卡","正常"))</f>
        <v/>
      </c>
      <c r="H720" s="5">
        <f>IF($G720="正常",ROUND(($F720-$E720)*1440,0),"")</f>
        <v/>
      </c>
      <c r="I720" s="6">
        <f>IF($G720="正常",$H720/60,"")</f>
        <v/>
      </c>
      <c r="J720" s="7">
        <f>IF($G720="正常",ROUND($H720/30,0)/2,"")</f>
        <v/>
      </c>
      <c r="K720" s="7">
        <f>IF($G720="正常",MIN($J720,12),"")</f>
        <v/>
      </c>
      <c r="L720" s="7">
        <f>IF($G720="正常",MAX($J720-12,0),"")</f>
        <v/>
      </c>
    </row>
    <row r="721">
      <c r="A721" s="3" t="inlineStr">
        <is>
          <t>陈帮兰</t>
        </is>
      </c>
      <c r="B721" s="3" t="inlineStr">
        <is>
          <t>8/7</t>
        </is>
      </c>
      <c r="C721" s="3" t="inlineStr">
        <is>
          <t>五</t>
        </is>
      </c>
      <c r="D721" s="3" t="inlineStr">
        <is>
          <t>07:52 20:00</t>
        </is>
      </c>
      <c r="E721" s="4" t="n">
        <v>0.3277777777777778</v>
      </c>
      <c r="F721" s="4" t="n">
        <v>0.8333333333333334</v>
      </c>
      <c r="G721" s="3">
        <f>IF($E721="","空卡",IF($F721="","单卡","正常"))</f>
        <v/>
      </c>
      <c r="H721" s="5">
        <f>IF($G721="正常",ROUND(($F721-$E721)*1440,0),"")</f>
        <v/>
      </c>
      <c r="I721" s="6">
        <f>IF($G721="正常",$H721/60,"")</f>
        <v/>
      </c>
      <c r="J721" s="7">
        <f>IF($G721="正常",ROUND($H721/30,0)/2,"")</f>
        <v/>
      </c>
      <c r="K721" s="7">
        <f>IF($G721="正常",MIN($J721,12),"")</f>
        <v/>
      </c>
      <c r="L721" s="7">
        <f>IF($G721="正常",MAX($J721-12,0),"")</f>
        <v/>
      </c>
    </row>
    <row r="722">
      <c r="A722" s="3" t="inlineStr">
        <is>
          <t>陈帮兰</t>
        </is>
      </c>
      <c r="B722" s="3" t="inlineStr">
        <is>
          <t>8/8</t>
        </is>
      </c>
      <c r="C722" s="3" t="inlineStr">
        <is>
          <t>六</t>
        </is>
      </c>
      <c r="D722" s="3" t="inlineStr">
        <is>
          <t>08:21 19:37</t>
        </is>
      </c>
      <c r="E722" s="4" t="n">
        <v>0.3479166666666667</v>
      </c>
      <c r="F722" s="4" t="n">
        <v>0.8173611111111111</v>
      </c>
      <c r="G722" s="3">
        <f>IF($E722="","空卡",IF($F722="","单卡","正常"))</f>
        <v/>
      </c>
      <c r="H722" s="5">
        <f>IF($G722="正常",ROUND(($F722-$E722)*1440,0),"")</f>
        <v/>
      </c>
      <c r="I722" s="6">
        <f>IF($G722="正常",$H722/60,"")</f>
        <v/>
      </c>
      <c r="J722" s="7">
        <f>IF($G722="正常",ROUND($H722/30,0)/2,"")</f>
        <v/>
      </c>
      <c r="K722" s="7">
        <f>IF($G722="正常",MIN($J722,12),"")</f>
        <v/>
      </c>
      <c r="L722" s="7">
        <f>IF($G722="正常",MAX($J722-12,0),"")</f>
        <v/>
      </c>
    </row>
    <row r="723">
      <c r="A723" s="8" t="inlineStr">
        <is>
          <t>陈帮兰</t>
        </is>
      </c>
      <c r="B723" s="8" t="inlineStr">
        <is>
          <t>8/9</t>
        </is>
      </c>
      <c r="C723" s="8" t="inlineStr">
        <is>
          <t>日</t>
        </is>
      </c>
      <c r="D723" s="8" t="inlineStr"/>
      <c r="E723" s="9" t="n"/>
      <c r="F723" s="9" t="n"/>
      <c r="G723" s="10">
        <f>IF($E723="","空卡",IF($F723="","单卡","正常"))</f>
        <v/>
      </c>
      <c r="H723" s="11">
        <f>IF($G723="正常",ROUND(($F723-$E723)*1440,0),"")</f>
        <v/>
      </c>
      <c r="I723" s="12">
        <f>IF($G723="正常",$H723/60,"")</f>
        <v/>
      </c>
      <c r="J723" s="13">
        <f>IF($G723="正常",ROUND($H723/30,0)/2,"")</f>
        <v/>
      </c>
      <c r="K723" s="13">
        <f>IF($G723="正常",MIN($J723,12),"")</f>
        <v/>
      </c>
      <c r="L723" s="13">
        <f>IF($G723="正常",MAX($J723-12,0),"")</f>
        <v/>
      </c>
    </row>
    <row r="724">
      <c r="A724" s="3" t="inlineStr">
        <is>
          <t>陈帮兰</t>
        </is>
      </c>
      <c r="B724" s="3" t="inlineStr">
        <is>
          <t>8/10</t>
        </is>
      </c>
      <c r="C724" s="3" t="inlineStr">
        <is>
          <t>一</t>
        </is>
      </c>
      <c r="D724" s="3" t="inlineStr">
        <is>
          <t>08:20 19:55</t>
        </is>
      </c>
      <c r="E724" s="4" t="n">
        <v>0.3472222222222222</v>
      </c>
      <c r="F724" s="4" t="n">
        <v>0.8298611111111112</v>
      </c>
      <c r="G724" s="3">
        <f>IF($E724="","空卡",IF($F724="","单卡","正常"))</f>
        <v/>
      </c>
      <c r="H724" s="5">
        <f>IF($G724="正常",ROUND(($F724-$E724)*1440,0),"")</f>
        <v/>
      </c>
      <c r="I724" s="6">
        <f>IF($G724="正常",$H724/60,"")</f>
        <v/>
      </c>
      <c r="J724" s="7">
        <f>IF($G724="正常",ROUND($H724/30,0)/2,"")</f>
        <v/>
      </c>
      <c r="K724" s="7">
        <f>IF($G724="正常",MIN($J724,12),"")</f>
        <v/>
      </c>
      <c r="L724" s="7">
        <f>IF($G724="正常",MAX($J724-12,0),"")</f>
        <v/>
      </c>
    </row>
    <row r="725">
      <c r="A725" s="3" t="inlineStr">
        <is>
          <t>陈帮兰</t>
        </is>
      </c>
      <c r="B725" s="3" t="inlineStr">
        <is>
          <t>8/11</t>
        </is>
      </c>
      <c r="C725" s="3" t="inlineStr">
        <is>
          <t>二</t>
        </is>
      </c>
      <c r="D725" s="3" t="inlineStr">
        <is>
          <t>08:21 18:56</t>
        </is>
      </c>
      <c r="E725" s="4" t="n">
        <v>0.3479166666666667</v>
      </c>
      <c r="F725" s="4" t="n">
        <v>0.7888888888888889</v>
      </c>
      <c r="G725" s="3">
        <f>IF($E725="","空卡",IF($F725="","单卡","正常"))</f>
        <v/>
      </c>
      <c r="H725" s="5">
        <f>IF($G725="正常",ROUND(($F725-$E725)*1440,0),"")</f>
        <v/>
      </c>
      <c r="I725" s="6">
        <f>IF($G725="正常",$H725/60,"")</f>
        <v/>
      </c>
      <c r="J725" s="7">
        <f>IF($G725="正常",ROUND($H725/30,0)/2,"")</f>
        <v/>
      </c>
      <c r="K725" s="7">
        <f>IF($G725="正常",MIN($J725,12),"")</f>
        <v/>
      </c>
      <c r="L725" s="7">
        <f>IF($G725="正常",MAX($J725-12,0),"")</f>
        <v/>
      </c>
    </row>
    <row r="726">
      <c r="A726" s="3" t="inlineStr">
        <is>
          <t>陈帮兰</t>
        </is>
      </c>
      <c r="B726" s="3" t="inlineStr">
        <is>
          <t>8/12</t>
        </is>
      </c>
      <c r="C726" s="3" t="inlineStr">
        <is>
          <t>三</t>
        </is>
      </c>
      <c r="D726" s="3" t="inlineStr">
        <is>
          <t>09:39 18:36</t>
        </is>
      </c>
      <c r="E726" s="4" t="n">
        <v>0.4020833333333333</v>
      </c>
      <c r="F726" s="4" t="n">
        <v>0.775</v>
      </c>
      <c r="G726" s="3">
        <f>IF($E726="","空卡",IF($F726="","单卡","正常"))</f>
        <v/>
      </c>
      <c r="H726" s="5">
        <f>IF($G726="正常",ROUND(($F726-$E726)*1440,0),"")</f>
        <v/>
      </c>
      <c r="I726" s="6">
        <f>IF($G726="正常",$H726/60,"")</f>
        <v/>
      </c>
      <c r="J726" s="7">
        <f>IF($G726="正常",ROUND($H726/30,0)/2,"")</f>
        <v/>
      </c>
      <c r="K726" s="7">
        <f>IF($G726="正常",MIN($J726,12),"")</f>
        <v/>
      </c>
      <c r="L726" s="7">
        <f>IF($G726="正常",MAX($J726-12,0),"")</f>
        <v/>
      </c>
    </row>
    <row r="727">
      <c r="A727" s="3" t="inlineStr">
        <is>
          <t>陈帮兰</t>
        </is>
      </c>
      <c r="B727" s="3" t="inlineStr">
        <is>
          <t>8/13</t>
        </is>
      </c>
      <c r="C727" s="3" t="inlineStr">
        <is>
          <t>四</t>
        </is>
      </c>
      <c r="D727" s="3" t="inlineStr">
        <is>
          <t>08:19 19:01</t>
        </is>
      </c>
      <c r="E727" s="4" t="n">
        <v>0.3465277777777778</v>
      </c>
      <c r="F727" s="4" t="n">
        <v>0.7923611111111111</v>
      </c>
      <c r="G727" s="3">
        <f>IF($E727="","空卡",IF($F727="","单卡","正常"))</f>
        <v/>
      </c>
      <c r="H727" s="5">
        <f>IF($G727="正常",ROUND(($F727-$E727)*1440,0),"")</f>
        <v/>
      </c>
      <c r="I727" s="6">
        <f>IF($G727="正常",$H727/60,"")</f>
        <v/>
      </c>
      <c r="J727" s="7">
        <f>IF($G727="正常",ROUND($H727/30,0)/2,"")</f>
        <v/>
      </c>
      <c r="K727" s="7">
        <f>IF($G727="正常",MIN($J727,12),"")</f>
        <v/>
      </c>
      <c r="L727" s="7">
        <f>IF($G727="正常",MAX($J727-12,0),"")</f>
        <v/>
      </c>
    </row>
    <row r="728">
      <c r="A728" s="3" t="inlineStr">
        <is>
          <t>陈帮兰</t>
        </is>
      </c>
      <c r="B728" s="3" t="inlineStr">
        <is>
          <t>8/14</t>
        </is>
      </c>
      <c r="C728" s="3" t="inlineStr">
        <is>
          <t>五</t>
        </is>
      </c>
      <c r="D728" s="3" t="inlineStr">
        <is>
          <t>08:18 20:56</t>
        </is>
      </c>
      <c r="E728" s="4" t="n">
        <v>0.3458333333333333</v>
      </c>
      <c r="F728" s="4" t="n">
        <v>0.8722222222222222</v>
      </c>
      <c r="G728" s="3">
        <f>IF($E728="","空卡",IF($F728="","单卡","正常"))</f>
        <v/>
      </c>
      <c r="H728" s="5">
        <f>IF($G728="正常",ROUND(($F728-$E728)*1440,0),"")</f>
        <v/>
      </c>
      <c r="I728" s="6">
        <f>IF($G728="正常",$H728/60,"")</f>
        <v/>
      </c>
      <c r="J728" s="7">
        <f>IF($G728="正常",ROUND($H728/30,0)/2,"")</f>
        <v/>
      </c>
      <c r="K728" s="7">
        <f>IF($G728="正常",MIN($J728,12),"")</f>
        <v/>
      </c>
      <c r="L728" s="7">
        <f>IF($G728="正常",MAX($J728-12,0),"")</f>
        <v/>
      </c>
    </row>
    <row r="729">
      <c r="A729" s="3" t="inlineStr">
        <is>
          <t>陈帮兰</t>
        </is>
      </c>
      <c r="B729" s="3" t="inlineStr">
        <is>
          <t>8/15</t>
        </is>
      </c>
      <c r="C729" s="3" t="inlineStr">
        <is>
          <t>六</t>
        </is>
      </c>
      <c r="D729" s="3" t="inlineStr">
        <is>
          <t>06:52 18:59</t>
        </is>
      </c>
      <c r="E729" s="4" t="n">
        <v>0.2861111111111111</v>
      </c>
      <c r="F729" s="4" t="n">
        <v>0.7909722222222222</v>
      </c>
      <c r="G729" s="3">
        <f>IF($E729="","空卡",IF($F729="","单卡","正常"))</f>
        <v/>
      </c>
      <c r="H729" s="5">
        <f>IF($G729="正常",ROUND(($F729-$E729)*1440,0),"")</f>
        <v/>
      </c>
      <c r="I729" s="6">
        <f>IF($G729="正常",$H729/60,"")</f>
        <v/>
      </c>
      <c r="J729" s="7">
        <f>IF($G729="正常",ROUND($H729/30,0)/2,"")</f>
        <v/>
      </c>
      <c r="K729" s="7">
        <f>IF($G729="正常",MIN($J729,12),"")</f>
        <v/>
      </c>
      <c r="L729" s="7">
        <f>IF($G729="正常",MAX($J729-12,0),"")</f>
        <v/>
      </c>
    </row>
    <row r="730">
      <c r="A730" s="8" t="inlineStr">
        <is>
          <t>陈帮兰</t>
        </is>
      </c>
      <c r="B730" s="8" t="inlineStr">
        <is>
          <t>8/16</t>
        </is>
      </c>
      <c r="C730" s="8" t="inlineStr">
        <is>
          <t>日</t>
        </is>
      </c>
      <c r="D730" s="8" t="inlineStr"/>
      <c r="E730" s="9" t="n"/>
      <c r="F730" s="9" t="n"/>
      <c r="G730" s="10">
        <f>IF($E730="","空卡",IF($F730="","单卡","正常"))</f>
        <v/>
      </c>
      <c r="H730" s="11">
        <f>IF($G730="正常",ROUND(($F730-$E730)*1440,0),"")</f>
        <v/>
      </c>
      <c r="I730" s="12">
        <f>IF($G730="正常",$H730/60,"")</f>
        <v/>
      </c>
      <c r="J730" s="13">
        <f>IF($G730="正常",ROUND($H730/30,0)/2,"")</f>
        <v/>
      </c>
      <c r="K730" s="13">
        <f>IF($G730="正常",MIN($J730,12),"")</f>
        <v/>
      </c>
      <c r="L730" s="13">
        <f>IF($G730="正常",MAX($J730-12,0),"")</f>
        <v/>
      </c>
    </row>
    <row r="731">
      <c r="A731" s="3" t="inlineStr">
        <is>
          <t>陈帮兰</t>
        </is>
      </c>
      <c r="B731" s="3" t="inlineStr">
        <is>
          <t>8/17</t>
        </is>
      </c>
      <c r="C731" s="3" t="inlineStr">
        <is>
          <t>一</t>
        </is>
      </c>
      <c r="D731" s="3" t="inlineStr">
        <is>
          <t>07:53 19:58</t>
        </is>
      </c>
      <c r="E731" s="4" t="n">
        <v>0.3284722222222222</v>
      </c>
      <c r="F731" s="4" t="n">
        <v>0.8319444444444445</v>
      </c>
      <c r="G731" s="3">
        <f>IF($E731="","空卡",IF($F731="","单卡","正常"))</f>
        <v/>
      </c>
      <c r="H731" s="5">
        <f>IF($G731="正常",ROUND(($F731-$E731)*1440,0),"")</f>
        <v/>
      </c>
      <c r="I731" s="6">
        <f>IF($G731="正常",$H731/60,"")</f>
        <v/>
      </c>
      <c r="J731" s="7">
        <f>IF($G731="正常",ROUND($H731/30,0)/2,"")</f>
        <v/>
      </c>
      <c r="K731" s="7">
        <f>IF($G731="正常",MIN($J731,12),"")</f>
        <v/>
      </c>
      <c r="L731" s="7">
        <f>IF($G731="正常",MAX($J731-12,0),"")</f>
        <v/>
      </c>
    </row>
    <row r="732">
      <c r="A732" s="3" t="inlineStr">
        <is>
          <t>陈帮兰</t>
        </is>
      </c>
      <c r="B732" s="3" t="inlineStr">
        <is>
          <t>8/18</t>
        </is>
      </c>
      <c r="C732" s="3" t="inlineStr">
        <is>
          <t>二</t>
        </is>
      </c>
      <c r="D732" s="3" t="inlineStr">
        <is>
          <t>07:55 18:55</t>
        </is>
      </c>
      <c r="E732" s="4" t="n">
        <v>0.3298611111111111</v>
      </c>
      <c r="F732" s="4" t="n">
        <v>0.7881944444444444</v>
      </c>
      <c r="G732" s="3">
        <f>IF($E732="","空卡",IF($F732="","单卡","正常"))</f>
        <v/>
      </c>
      <c r="H732" s="5">
        <f>IF($G732="正常",ROUND(($F732-$E732)*1440,0),"")</f>
        <v/>
      </c>
      <c r="I732" s="6">
        <f>IF($G732="正常",$H732/60,"")</f>
        <v/>
      </c>
      <c r="J732" s="7">
        <f>IF($G732="正常",ROUND($H732/30,0)/2,"")</f>
        <v/>
      </c>
      <c r="K732" s="7">
        <f>IF($G732="正常",MIN($J732,12),"")</f>
        <v/>
      </c>
      <c r="L732" s="7">
        <f>IF($G732="正常",MAX($J732-12,0),"")</f>
        <v/>
      </c>
    </row>
    <row r="733">
      <c r="A733" s="3" t="inlineStr">
        <is>
          <t>陈帮兰</t>
        </is>
      </c>
      <c r="B733" s="3" t="inlineStr">
        <is>
          <t>8/19</t>
        </is>
      </c>
      <c r="C733" s="3" t="inlineStr">
        <is>
          <t>三</t>
        </is>
      </c>
      <c r="D733" s="3" t="inlineStr">
        <is>
          <t>07:23 20:29</t>
        </is>
      </c>
      <c r="E733" s="4" t="n">
        <v>0.3076388888888889</v>
      </c>
      <c r="F733" s="4" t="n">
        <v>0.8534722222222222</v>
      </c>
      <c r="G733" s="3">
        <f>IF($E733="","空卡",IF($F733="","单卡","正常"))</f>
        <v/>
      </c>
      <c r="H733" s="5">
        <f>IF($G733="正常",ROUND(($F733-$E733)*1440,0),"")</f>
        <v/>
      </c>
      <c r="I733" s="6">
        <f>IF($G733="正常",$H733/60,"")</f>
        <v/>
      </c>
      <c r="J733" s="7">
        <f>IF($G733="正常",ROUND($H733/30,0)/2,"")</f>
        <v/>
      </c>
      <c r="K733" s="7">
        <f>IF($G733="正常",MIN($J733,12),"")</f>
        <v/>
      </c>
      <c r="L733" s="7">
        <f>IF($G733="正常",MAX($J733-12,0),"")</f>
        <v/>
      </c>
    </row>
    <row r="734">
      <c r="A734" s="3" t="inlineStr">
        <is>
          <t>陈帮兰</t>
        </is>
      </c>
      <c r="B734" s="3" t="inlineStr">
        <is>
          <t>8/20</t>
        </is>
      </c>
      <c r="C734" s="3" t="inlineStr">
        <is>
          <t>四</t>
        </is>
      </c>
      <c r="D734" s="3" t="inlineStr">
        <is>
          <t>10:21 20:28</t>
        </is>
      </c>
      <c r="E734" s="4" t="n">
        <v>0.43125</v>
      </c>
      <c r="F734" s="4" t="n">
        <v>0.8527777777777777</v>
      </c>
      <c r="G734" s="3">
        <f>IF($E734="","空卡",IF($F734="","单卡","正常"))</f>
        <v/>
      </c>
      <c r="H734" s="5">
        <f>IF($G734="正常",ROUND(($F734-$E734)*1440,0),"")</f>
        <v/>
      </c>
      <c r="I734" s="6">
        <f>IF($G734="正常",$H734/60,"")</f>
        <v/>
      </c>
      <c r="J734" s="7">
        <f>IF($G734="正常",ROUND($H734/30,0)/2,"")</f>
        <v/>
      </c>
      <c r="K734" s="7">
        <f>IF($G734="正常",MIN($J734,12),"")</f>
        <v/>
      </c>
      <c r="L734" s="7">
        <f>IF($G734="正常",MAX($J734-12,0),"")</f>
        <v/>
      </c>
    </row>
    <row r="735">
      <c r="A735" s="3" t="inlineStr">
        <is>
          <t>陈帮兰</t>
        </is>
      </c>
      <c r="B735" s="3" t="inlineStr">
        <is>
          <t>8/21</t>
        </is>
      </c>
      <c r="C735" s="3" t="inlineStr">
        <is>
          <t>五</t>
        </is>
      </c>
      <c r="D735" s="3" t="inlineStr">
        <is>
          <t>06:53 19:01</t>
        </is>
      </c>
      <c r="E735" s="4" t="n">
        <v>0.2868055555555555</v>
      </c>
      <c r="F735" s="4" t="n">
        <v>0.7923611111111111</v>
      </c>
      <c r="G735" s="3">
        <f>IF($E735="","空卡",IF($F735="","单卡","正常"))</f>
        <v/>
      </c>
      <c r="H735" s="5">
        <f>IF($G735="正常",ROUND(($F735-$E735)*1440,0),"")</f>
        <v/>
      </c>
      <c r="I735" s="6">
        <f>IF($G735="正常",$H735/60,"")</f>
        <v/>
      </c>
      <c r="J735" s="7">
        <f>IF($G735="正常",ROUND($H735/30,0)/2,"")</f>
        <v/>
      </c>
      <c r="K735" s="7">
        <f>IF($G735="正常",MIN($J735,12),"")</f>
        <v/>
      </c>
      <c r="L735" s="7">
        <f>IF($G735="正常",MAX($J735-12,0),"")</f>
        <v/>
      </c>
    </row>
    <row r="736">
      <c r="A736" s="3" t="inlineStr">
        <is>
          <t>陈帮兰</t>
        </is>
      </c>
      <c r="B736" s="3" t="inlineStr">
        <is>
          <t>8/22</t>
        </is>
      </c>
      <c r="C736" s="3" t="inlineStr">
        <is>
          <t>六</t>
        </is>
      </c>
      <c r="D736" s="3" t="inlineStr">
        <is>
          <t>06:54 18:30</t>
        </is>
      </c>
      <c r="E736" s="4" t="n">
        <v>0.2875</v>
      </c>
      <c r="F736" s="4" t="n">
        <v>0.7708333333333334</v>
      </c>
      <c r="G736" s="3">
        <f>IF($E736="","空卡",IF($F736="","单卡","正常"))</f>
        <v/>
      </c>
      <c r="H736" s="5">
        <f>IF($G736="正常",ROUND(($F736-$E736)*1440,0),"")</f>
        <v/>
      </c>
      <c r="I736" s="6">
        <f>IF($G736="正常",$H736/60,"")</f>
        <v/>
      </c>
      <c r="J736" s="7">
        <f>IF($G736="正常",ROUND($H736/30,0)/2,"")</f>
        <v/>
      </c>
      <c r="K736" s="7">
        <f>IF($G736="正常",MIN($J736,12),"")</f>
        <v/>
      </c>
      <c r="L736" s="7">
        <f>IF($G736="正常",MAX($J736-12,0),"")</f>
        <v/>
      </c>
    </row>
    <row r="737">
      <c r="A737" s="3" t="inlineStr">
        <is>
          <t>陈帮兰</t>
        </is>
      </c>
      <c r="B737" s="3" t="inlineStr">
        <is>
          <t>8/23</t>
        </is>
      </c>
      <c r="C737" s="3" t="inlineStr">
        <is>
          <t>日</t>
        </is>
      </c>
      <c r="D737" s="3" t="inlineStr">
        <is>
          <t>06:55 17:58</t>
        </is>
      </c>
      <c r="E737" s="4" t="n">
        <v>0.2881944444444444</v>
      </c>
      <c r="F737" s="4" t="n">
        <v>0.7486111111111111</v>
      </c>
      <c r="G737" s="3">
        <f>IF($E737="","空卡",IF($F737="","单卡","正常"))</f>
        <v/>
      </c>
      <c r="H737" s="5">
        <f>IF($G737="正常",ROUND(($F737-$E737)*1440,0),"")</f>
        <v/>
      </c>
      <c r="I737" s="6">
        <f>IF($G737="正常",$H737/60,"")</f>
        <v/>
      </c>
      <c r="J737" s="7">
        <f>IF($G737="正常",ROUND($H737/30,0)/2,"")</f>
        <v/>
      </c>
      <c r="K737" s="7">
        <f>IF($G737="正常",MIN($J737,12),"")</f>
        <v/>
      </c>
      <c r="L737" s="7">
        <f>IF($G737="正常",MAX($J737-12,0),"")</f>
        <v/>
      </c>
    </row>
    <row r="738">
      <c r="A738" s="3" t="inlineStr">
        <is>
          <t>陈帮兰</t>
        </is>
      </c>
      <c r="B738" s="3" t="inlineStr">
        <is>
          <t>8/24</t>
        </is>
      </c>
      <c r="C738" s="3" t="inlineStr">
        <is>
          <t>一</t>
        </is>
      </c>
      <c r="D738" s="3" t="inlineStr">
        <is>
          <t>06:52 16:36</t>
        </is>
      </c>
      <c r="E738" s="4" t="n">
        <v>0.2861111111111111</v>
      </c>
      <c r="F738" s="4" t="n">
        <v>0.6916666666666667</v>
      </c>
      <c r="G738" s="3">
        <f>IF($E738="","空卡",IF($F738="","单卡","正常"))</f>
        <v/>
      </c>
      <c r="H738" s="5">
        <f>IF($G738="正常",ROUND(($F738-$E738)*1440,0),"")</f>
        <v/>
      </c>
      <c r="I738" s="6">
        <f>IF($G738="正常",$H738/60,"")</f>
        <v/>
      </c>
      <c r="J738" s="7">
        <f>IF($G738="正常",ROUND($H738/30,0)/2,"")</f>
        <v/>
      </c>
      <c r="K738" s="7">
        <f>IF($G738="正常",MIN($J738,12),"")</f>
        <v/>
      </c>
      <c r="L738" s="7">
        <f>IF($G738="正常",MAX($J738-12,0),"")</f>
        <v/>
      </c>
    </row>
    <row r="739">
      <c r="A739" s="3" t="inlineStr">
        <is>
          <t>陈帮兰</t>
        </is>
      </c>
      <c r="B739" s="3" t="inlineStr">
        <is>
          <t>8/25</t>
        </is>
      </c>
      <c r="C739" s="3" t="inlineStr">
        <is>
          <t>二</t>
        </is>
      </c>
      <c r="D739" s="3" t="inlineStr">
        <is>
          <t>08:07 18:36</t>
        </is>
      </c>
      <c r="E739" s="4" t="n">
        <v>0.3381944444444445</v>
      </c>
      <c r="F739" s="4" t="n">
        <v>0.775</v>
      </c>
      <c r="G739" s="3">
        <f>IF($E739="","空卡",IF($F739="","单卡","正常"))</f>
        <v/>
      </c>
      <c r="H739" s="5">
        <f>IF($G739="正常",ROUND(($F739-$E739)*1440,0),"")</f>
        <v/>
      </c>
      <c r="I739" s="6">
        <f>IF($G739="正常",$H739/60,"")</f>
        <v/>
      </c>
      <c r="J739" s="7">
        <f>IF($G739="正常",ROUND($H739/30,0)/2,"")</f>
        <v/>
      </c>
      <c r="K739" s="7">
        <f>IF($G739="正常",MIN($J739,12),"")</f>
        <v/>
      </c>
      <c r="L739" s="7">
        <f>IF($G739="正常",MAX($J739-12,0),"")</f>
        <v/>
      </c>
    </row>
    <row r="740">
      <c r="A740" s="3" t="inlineStr">
        <is>
          <t>陈帮兰</t>
        </is>
      </c>
      <c r="B740" s="3" t="inlineStr">
        <is>
          <t>8/26</t>
        </is>
      </c>
      <c r="C740" s="3" t="inlineStr">
        <is>
          <t>三</t>
        </is>
      </c>
      <c r="D740" s="3" t="inlineStr">
        <is>
          <t>07:50 18:56</t>
        </is>
      </c>
      <c r="E740" s="4" t="n">
        <v>0.3263888888888889</v>
      </c>
      <c r="F740" s="4" t="n">
        <v>0.7888888888888889</v>
      </c>
      <c r="G740" s="3">
        <f>IF($E740="","空卡",IF($F740="","单卡","正常"))</f>
        <v/>
      </c>
      <c r="H740" s="5">
        <f>IF($G740="正常",ROUND(($F740-$E740)*1440,0),"")</f>
        <v/>
      </c>
      <c r="I740" s="6">
        <f>IF($G740="正常",$H740/60,"")</f>
        <v/>
      </c>
      <c r="J740" s="7">
        <f>IF($G740="正常",ROUND($H740/30,0)/2,"")</f>
        <v/>
      </c>
      <c r="K740" s="7">
        <f>IF($G740="正常",MIN($J740,12),"")</f>
        <v/>
      </c>
      <c r="L740" s="7">
        <f>IF($G740="正常",MAX($J740-12,0),"")</f>
        <v/>
      </c>
    </row>
    <row r="741">
      <c r="A741" s="3" t="inlineStr">
        <is>
          <t>陈帮兰</t>
        </is>
      </c>
      <c r="B741" s="3" t="inlineStr">
        <is>
          <t>8/27</t>
        </is>
      </c>
      <c r="C741" s="3" t="inlineStr">
        <is>
          <t>四</t>
        </is>
      </c>
      <c r="D741" s="3" t="inlineStr">
        <is>
          <t>07:49 19:30</t>
        </is>
      </c>
      <c r="E741" s="4" t="n">
        <v>0.3256944444444445</v>
      </c>
      <c r="F741" s="4" t="n">
        <v>0.8125</v>
      </c>
      <c r="G741" s="3">
        <f>IF($E741="","空卡",IF($F741="","单卡","正常"))</f>
        <v/>
      </c>
      <c r="H741" s="5">
        <f>IF($G741="正常",ROUND(($F741-$E741)*1440,0),"")</f>
        <v/>
      </c>
      <c r="I741" s="6">
        <f>IF($G741="正常",$H741/60,"")</f>
        <v/>
      </c>
      <c r="J741" s="7">
        <f>IF($G741="正常",ROUND($H741/30,0)/2,"")</f>
        <v/>
      </c>
      <c r="K741" s="7">
        <f>IF($G741="正常",MIN($J741,12),"")</f>
        <v/>
      </c>
      <c r="L741" s="7">
        <f>IF($G741="正常",MAX($J741-12,0),"")</f>
        <v/>
      </c>
    </row>
    <row r="742">
      <c r="A742" s="3" t="inlineStr">
        <is>
          <t>陈帮兰</t>
        </is>
      </c>
      <c r="B742" s="3" t="inlineStr">
        <is>
          <t>8/28</t>
        </is>
      </c>
      <c r="C742" s="3" t="inlineStr">
        <is>
          <t>五</t>
        </is>
      </c>
      <c r="D742" s="3" t="inlineStr">
        <is>
          <t>07:48 18:29</t>
        </is>
      </c>
      <c r="E742" s="4" t="n">
        <v>0.325</v>
      </c>
      <c r="F742" s="4" t="n">
        <v>0.7701388888888889</v>
      </c>
      <c r="G742" s="3">
        <f>IF($E742="","空卡",IF($F742="","单卡","正常"))</f>
        <v/>
      </c>
      <c r="H742" s="5">
        <f>IF($G742="正常",ROUND(($F742-$E742)*1440,0),"")</f>
        <v/>
      </c>
      <c r="I742" s="6">
        <f>IF($G742="正常",$H742/60,"")</f>
        <v/>
      </c>
      <c r="J742" s="7">
        <f>IF($G742="正常",ROUND($H742/30,0)/2,"")</f>
        <v/>
      </c>
      <c r="K742" s="7">
        <f>IF($G742="正常",MIN($J742,12),"")</f>
        <v/>
      </c>
      <c r="L742" s="7">
        <f>IF($G742="正常",MAX($J742-12,0),"")</f>
        <v/>
      </c>
    </row>
    <row r="743">
      <c r="A743" s="3" t="inlineStr">
        <is>
          <t>陈帮兰</t>
        </is>
      </c>
      <c r="B743" s="3" t="inlineStr">
        <is>
          <t>8/29</t>
        </is>
      </c>
      <c r="C743" s="3" t="inlineStr">
        <is>
          <t>六</t>
        </is>
      </c>
      <c r="D743" s="3" t="inlineStr">
        <is>
          <t>07:46 22:29</t>
        </is>
      </c>
      <c r="E743" s="4" t="n">
        <v>0.3236111111111111</v>
      </c>
      <c r="F743" s="4" t="n">
        <v>0.9368055555555556</v>
      </c>
      <c r="G743" s="3">
        <f>IF($E743="","空卡",IF($F743="","单卡","正常"))</f>
        <v/>
      </c>
      <c r="H743" s="5">
        <f>IF($G743="正常",ROUND(($F743-$E743)*1440,0),"")</f>
        <v/>
      </c>
      <c r="I743" s="6">
        <f>IF($G743="正常",$H743/60,"")</f>
        <v/>
      </c>
      <c r="J743" s="7">
        <f>IF($G743="正常",ROUND($H743/30,0)/2,"")</f>
        <v/>
      </c>
      <c r="K743" s="7">
        <f>IF($G743="正常",MIN($J743,12),"")</f>
        <v/>
      </c>
      <c r="L743" s="7">
        <f>IF($G743="正常",MAX($J743-12,0),"")</f>
        <v/>
      </c>
    </row>
    <row r="744">
      <c r="A744" s="3" t="inlineStr">
        <is>
          <t>陈帮兰</t>
        </is>
      </c>
      <c r="B744" s="3" t="inlineStr">
        <is>
          <t>8/30</t>
        </is>
      </c>
      <c r="C744" s="3" t="inlineStr">
        <is>
          <t>日</t>
        </is>
      </c>
      <c r="D744" s="3" t="inlineStr">
        <is>
          <t>07:50 21:14</t>
        </is>
      </c>
      <c r="E744" s="4" t="n">
        <v>0.3263888888888889</v>
      </c>
      <c r="F744" s="4" t="n">
        <v>0.8847222222222222</v>
      </c>
      <c r="G744" s="3">
        <f>IF($E744="","空卡",IF($F744="","单卡","正常"))</f>
        <v/>
      </c>
      <c r="H744" s="5">
        <f>IF($G744="正常",ROUND(($F744-$E744)*1440,0),"")</f>
        <v/>
      </c>
      <c r="I744" s="6">
        <f>IF($G744="正常",$H744/60,"")</f>
        <v/>
      </c>
      <c r="J744" s="7">
        <f>IF($G744="正常",ROUND($H744/30,0)/2,"")</f>
        <v/>
      </c>
      <c r="K744" s="7">
        <f>IF($G744="正常",MIN($J744,12),"")</f>
        <v/>
      </c>
      <c r="L744" s="7">
        <f>IF($G744="正常",MAX($J744-12,0),"")</f>
        <v/>
      </c>
    </row>
    <row r="745">
      <c r="A745" s="8" t="inlineStr">
        <is>
          <t>陈帮兰</t>
        </is>
      </c>
      <c r="B745" s="8" t="inlineStr">
        <is>
          <t>8/31</t>
        </is>
      </c>
      <c r="C745" s="8" t="inlineStr">
        <is>
          <t>一</t>
        </is>
      </c>
      <c r="D745" s="8" t="inlineStr"/>
      <c r="E745" s="9" t="n"/>
      <c r="F745" s="9" t="n"/>
      <c r="G745" s="10">
        <f>IF($E745="","空卡",IF($F745="","单卡","正常"))</f>
        <v/>
      </c>
      <c r="H745" s="11">
        <f>IF($G745="正常",ROUND(($F745-$E745)*1440,0),"")</f>
        <v/>
      </c>
      <c r="I745" s="12">
        <f>IF($G745="正常",$H745/60,"")</f>
        <v/>
      </c>
      <c r="J745" s="13">
        <f>IF($G745="正常",ROUND($H745/30,0)/2,"")</f>
        <v/>
      </c>
      <c r="K745" s="13">
        <f>IF($G745="正常",MIN($J745,12),"")</f>
        <v/>
      </c>
      <c r="L745" s="13">
        <f>IF($G745="正常",MAX($J745-12,0),"")</f>
        <v/>
      </c>
    </row>
    <row r="746">
      <c r="A746" s="3" t="inlineStr">
        <is>
          <t>李朝维</t>
        </is>
      </c>
      <c r="B746" s="3" t="inlineStr">
        <is>
          <t>8/1</t>
        </is>
      </c>
      <c r="C746" s="3" t="inlineStr">
        <is>
          <t>六</t>
        </is>
      </c>
      <c r="D746" s="3" t="inlineStr">
        <is>
          <t>07:45 17:00</t>
        </is>
      </c>
      <c r="E746" s="4" t="n">
        <v>0.3229166666666667</v>
      </c>
      <c r="F746" s="4" t="n">
        <v>0.7083333333333334</v>
      </c>
      <c r="G746" s="3">
        <f>IF($E746="","空卡",IF($F746="","单卡","正常"))</f>
        <v/>
      </c>
      <c r="H746" s="5">
        <f>IF($G746="正常",ROUND(($F746-$E746)*1440,0),"")</f>
        <v/>
      </c>
      <c r="I746" s="6">
        <f>IF($G746="正常",$H746/60,"")</f>
        <v/>
      </c>
      <c r="J746" s="7">
        <f>IF($G746="正常",ROUND($H746/30,0)/2,"")</f>
        <v/>
      </c>
      <c r="K746" s="7">
        <f>IF($G746="正常",MIN($J746,12),"")</f>
        <v/>
      </c>
      <c r="L746" s="7">
        <f>IF($G746="正常",MAX($J746-12,0),"")</f>
        <v/>
      </c>
    </row>
    <row r="747">
      <c r="A747" s="3" t="inlineStr">
        <is>
          <t>李朝维</t>
        </is>
      </c>
      <c r="B747" s="3" t="inlineStr">
        <is>
          <t>8/2</t>
        </is>
      </c>
      <c r="C747" s="3" t="inlineStr">
        <is>
          <t>日</t>
        </is>
      </c>
      <c r="D747" s="3" t="inlineStr">
        <is>
          <t>07:49 15:02</t>
        </is>
      </c>
      <c r="E747" s="4" t="n">
        <v>0.3256944444444445</v>
      </c>
      <c r="F747" s="4" t="n">
        <v>0.6263888888888889</v>
      </c>
      <c r="G747" s="3">
        <f>IF($E747="","空卡",IF($F747="","单卡","正常"))</f>
        <v/>
      </c>
      <c r="H747" s="5">
        <f>IF($G747="正常",ROUND(($F747-$E747)*1440,0),"")</f>
        <v/>
      </c>
      <c r="I747" s="6">
        <f>IF($G747="正常",$H747/60,"")</f>
        <v/>
      </c>
      <c r="J747" s="7">
        <f>IF($G747="正常",ROUND($H747/30,0)/2,"")</f>
        <v/>
      </c>
      <c r="K747" s="7">
        <f>IF($G747="正常",MIN($J747,12),"")</f>
        <v/>
      </c>
      <c r="L747" s="7">
        <f>IF($G747="正常",MAX($J747-12,0),"")</f>
        <v/>
      </c>
    </row>
    <row r="748">
      <c r="A748" s="3" t="inlineStr">
        <is>
          <t>李朝维</t>
        </is>
      </c>
      <c r="B748" s="3" t="inlineStr">
        <is>
          <t>8/3</t>
        </is>
      </c>
      <c r="C748" s="3" t="inlineStr">
        <is>
          <t>一</t>
        </is>
      </c>
      <c r="D748" s="3" t="inlineStr">
        <is>
          <t>08:18 15:30</t>
        </is>
      </c>
      <c r="E748" s="4" t="n">
        <v>0.3458333333333333</v>
      </c>
      <c r="F748" s="4" t="n">
        <v>0.6458333333333334</v>
      </c>
      <c r="G748" s="3">
        <f>IF($E748="","空卡",IF($F748="","单卡","正常"))</f>
        <v/>
      </c>
      <c r="H748" s="5">
        <f>IF($G748="正常",ROUND(($F748-$E748)*1440,0),"")</f>
        <v/>
      </c>
      <c r="I748" s="6">
        <f>IF($G748="正常",$H748/60,"")</f>
        <v/>
      </c>
      <c r="J748" s="7">
        <f>IF($G748="正常",ROUND($H748/30,0)/2,"")</f>
        <v/>
      </c>
      <c r="K748" s="7">
        <f>IF($G748="正常",MIN($J748,12),"")</f>
        <v/>
      </c>
      <c r="L748" s="7">
        <f>IF($G748="正常",MAX($J748-12,0),"")</f>
        <v/>
      </c>
    </row>
    <row r="749">
      <c r="A749" s="3" t="inlineStr">
        <is>
          <t>李朝维</t>
        </is>
      </c>
      <c r="B749" s="3" t="inlineStr">
        <is>
          <t>8/4</t>
        </is>
      </c>
      <c r="C749" s="3" t="inlineStr">
        <is>
          <t>二</t>
        </is>
      </c>
      <c r="D749" s="3" t="inlineStr">
        <is>
          <t>08:37 19:33</t>
        </is>
      </c>
      <c r="E749" s="4" t="n">
        <v>0.3590277777777778</v>
      </c>
      <c r="F749" s="4" t="n">
        <v>0.8145833333333333</v>
      </c>
      <c r="G749" s="3">
        <f>IF($E749="","空卡",IF($F749="","单卡","正常"))</f>
        <v/>
      </c>
      <c r="H749" s="5">
        <f>IF($G749="正常",ROUND(($F749-$E749)*1440,0),"")</f>
        <v/>
      </c>
      <c r="I749" s="6">
        <f>IF($G749="正常",$H749/60,"")</f>
        <v/>
      </c>
      <c r="J749" s="7">
        <f>IF($G749="正常",ROUND($H749/30,0)/2,"")</f>
        <v/>
      </c>
      <c r="K749" s="7">
        <f>IF($G749="正常",MIN($J749,12),"")</f>
        <v/>
      </c>
      <c r="L749" s="7">
        <f>IF($G749="正常",MAX($J749-12,0),"")</f>
        <v/>
      </c>
    </row>
    <row r="750">
      <c r="A750" s="3" t="inlineStr">
        <is>
          <t>李朝维</t>
        </is>
      </c>
      <c r="B750" s="3" t="inlineStr">
        <is>
          <t>8/5</t>
        </is>
      </c>
      <c r="C750" s="3" t="inlineStr">
        <is>
          <t>三</t>
        </is>
      </c>
      <c r="D750" s="3" t="inlineStr">
        <is>
          <t>09:49 19:36</t>
        </is>
      </c>
      <c r="E750" s="4" t="n">
        <v>0.4090277777777778</v>
      </c>
      <c r="F750" s="4" t="n">
        <v>0.8166666666666667</v>
      </c>
      <c r="G750" s="3">
        <f>IF($E750="","空卡",IF($F750="","单卡","正常"))</f>
        <v/>
      </c>
      <c r="H750" s="5">
        <f>IF($G750="正常",ROUND(($F750-$E750)*1440,0),"")</f>
        <v/>
      </c>
      <c r="I750" s="6">
        <f>IF($G750="正常",$H750/60,"")</f>
        <v/>
      </c>
      <c r="J750" s="7">
        <f>IF($G750="正常",ROUND($H750/30,0)/2,"")</f>
        <v/>
      </c>
      <c r="K750" s="7">
        <f>IF($G750="正常",MIN($J750,12),"")</f>
        <v/>
      </c>
      <c r="L750" s="7">
        <f>IF($G750="正常",MAX($J750-12,0),"")</f>
        <v/>
      </c>
    </row>
    <row r="751">
      <c r="A751" s="3" t="inlineStr">
        <is>
          <t>李朝维</t>
        </is>
      </c>
      <c r="B751" s="3" t="inlineStr">
        <is>
          <t>8/6</t>
        </is>
      </c>
      <c r="C751" s="3" t="inlineStr">
        <is>
          <t>四</t>
        </is>
      </c>
      <c r="D751" s="3" t="inlineStr">
        <is>
          <t>08:48 19:01</t>
        </is>
      </c>
      <c r="E751" s="4" t="n">
        <v>0.3666666666666666</v>
      </c>
      <c r="F751" s="4" t="n">
        <v>0.7923611111111111</v>
      </c>
      <c r="G751" s="3">
        <f>IF($E751="","空卡",IF($F751="","单卡","正常"))</f>
        <v/>
      </c>
      <c r="H751" s="5">
        <f>IF($G751="正常",ROUND(($F751-$E751)*1440,0),"")</f>
        <v/>
      </c>
      <c r="I751" s="6">
        <f>IF($G751="正常",$H751/60,"")</f>
        <v/>
      </c>
      <c r="J751" s="7">
        <f>IF($G751="正常",ROUND($H751/30,0)/2,"")</f>
        <v/>
      </c>
      <c r="K751" s="7">
        <f>IF($G751="正常",MIN($J751,12),"")</f>
        <v/>
      </c>
      <c r="L751" s="7">
        <f>IF($G751="正常",MAX($J751-12,0),"")</f>
        <v/>
      </c>
    </row>
    <row r="752">
      <c r="A752" s="3" t="inlineStr">
        <is>
          <t>李朝维</t>
        </is>
      </c>
      <c r="B752" s="3" t="inlineStr">
        <is>
          <t>8/7</t>
        </is>
      </c>
      <c r="C752" s="3" t="inlineStr">
        <is>
          <t>五</t>
        </is>
      </c>
      <c r="D752" s="3" t="inlineStr">
        <is>
          <t>07:37 19:30</t>
        </is>
      </c>
      <c r="E752" s="4" t="n">
        <v>0.3173611111111111</v>
      </c>
      <c r="F752" s="4" t="n">
        <v>0.8125</v>
      </c>
      <c r="G752" s="3">
        <f>IF($E752="","空卡",IF($F752="","单卡","正常"))</f>
        <v/>
      </c>
      <c r="H752" s="5">
        <f>IF($G752="正常",ROUND(($F752-$E752)*1440,0),"")</f>
        <v/>
      </c>
      <c r="I752" s="6">
        <f>IF($G752="正常",$H752/60,"")</f>
        <v/>
      </c>
      <c r="J752" s="7">
        <f>IF($G752="正常",ROUND($H752/30,0)/2,"")</f>
        <v/>
      </c>
      <c r="K752" s="7">
        <f>IF($G752="正常",MIN($J752,12),"")</f>
        <v/>
      </c>
      <c r="L752" s="7">
        <f>IF($G752="正常",MAX($J752-12,0),"")</f>
        <v/>
      </c>
    </row>
    <row r="753">
      <c r="A753" s="3" t="inlineStr">
        <is>
          <t>李朝维</t>
        </is>
      </c>
      <c r="B753" s="3" t="inlineStr">
        <is>
          <t>8/8</t>
        </is>
      </c>
      <c r="C753" s="3" t="inlineStr">
        <is>
          <t>六</t>
        </is>
      </c>
      <c r="D753" s="3" t="inlineStr">
        <is>
          <t>08:15 19:37</t>
        </is>
      </c>
      <c r="E753" s="4" t="n">
        <v>0.34375</v>
      </c>
      <c r="F753" s="4" t="n">
        <v>0.8173611111111111</v>
      </c>
      <c r="G753" s="3">
        <f>IF($E753="","空卡",IF($F753="","单卡","正常"))</f>
        <v/>
      </c>
      <c r="H753" s="5">
        <f>IF($G753="正常",ROUND(($F753-$E753)*1440,0),"")</f>
        <v/>
      </c>
      <c r="I753" s="6">
        <f>IF($G753="正常",$H753/60,"")</f>
        <v/>
      </c>
      <c r="J753" s="7">
        <f>IF($G753="正常",ROUND($H753/30,0)/2,"")</f>
        <v/>
      </c>
      <c r="K753" s="7">
        <f>IF($G753="正常",MIN($J753,12),"")</f>
        <v/>
      </c>
      <c r="L753" s="7">
        <f>IF($G753="正常",MAX($J753-12,0),"")</f>
        <v/>
      </c>
    </row>
    <row r="754">
      <c r="A754" s="8" t="inlineStr">
        <is>
          <t>李朝维</t>
        </is>
      </c>
      <c r="B754" s="8" t="inlineStr">
        <is>
          <t>8/9</t>
        </is>
      </c>
      <c r="C754" s="8" t="inlineStr">
        <is>
          <t>日</t>
        </is>
      </c>
      <c r="D754" s="8" t="inlineStr"/>
      <c r="E754" s="9" t="n"/>
      <c r="F754" s="9" t="n"/>
      <c r="G754" s="10">
        <f>IF($E754="","空卡",IF($F754="","单卡","正常"))</f>
        <v/>
      </c>
      <c r="H754" s="11">
        <f>IF($G754="正常",ROUND(($F754-$E754)*1440,0),"")</f>
        <v/>
      </c>
      <c r="I754" s="12">
        <f>IF($G754="正常",$H754/60,"")</f>
        <v/>
      </c>
      <c r="J754" s="13">
        <f>IF($G754="正常",ROUND($H754/30,0)/2,"")</f>
        <v/>
      </c>
      <c r="K754" s="13">
        <f>IF($G754="正常",MIN($J754,12),"")</f>
        <v/>
      </c>
      <c r="L754" s="13">
        <f>IF($G754="正常",MAX($J754-12,0),"")</f>
        <v/>
      </c>
    </row>
    <row r="755">
      <c r="A755" s="3" t="inlineStr">
        <is>
          <t>李朝维</t>
        </is>
      </c>
      <c r="B755" s="3" t="inlineStr">
        <is>
          <t>8/10</t>
        </is>
      </c>
      <c r="C755" s="3" t="inlineStr">
        <is>
          <t>一</t>
        </is>
      </c>
      <c r="D755" s="3" t="inlineStr">
        <is>
          <t>08:17 19:57</t>
        </is>
      </c>
      <c r="E755" s="4" t="n">
        <v>0.3451388888888889</v>
      </c>
      <c r="F755" s="4" t="n">
        <v>0.83125</v>
      </c>
      <c r="G755" s="3">
        <f>IF($E755="","空卡",IF($F755="","单卡","正常"))</f>
        <v/>
      </c>
      <c r="H755" s="5">
        <f>IF($G755="正常",ROUND(($F755-$E755)*1440,0),"")</f>
        <v/>
      </c>
      <c r="I755" s="6">
        <f>IF($G755="正常",$H755/60,"")</f>
        <v/>
      </c>
      <c r="J755" s="7">
        <f>IF($G755="正常",ROUND($H755/30,0)/2,"")</f>
        <v/>
      </c>
      <c r="K755" s="7">
        <f>IF($G755="正常",MIN($J755,12),"")</f>
        <v/>
      </c>
      <c r="L755" s="7">
        <f>IF($G755="正常",MAX($J755-12,0),"")</f>
        <v/>
      </c>
    </row>
    <row r="756">
      <c r="A756" s="3" t="inlineStr">
        <is>
          <t>李朝维</t>
        </is>
      </c>
      <c r="B756" s="3" t="inlineStr">
        <is>
          <t>8/11</t>
        </is>
      </c>
      <c r="C756" s="3" t="inlineStr">
        <is>
          <t>二</t>
        </is>
      </c>
      <c r="D756" s="3" t="inlineStr">
        <is>
          <t>08:20 18:04</t>
        </is>
      </c>
      <c r="E756" s="4" t="n">
        <v>0.3472222222222222</v>
      </c>
      <c r="F756" s="4" t="n">
        <v>0.7527777777777778</v>
      </c>
      <c r="G756" s="3">
        <f>IF($E756="","空卡",IF($F756="","单卡","正常"))</f>
        <v/>
      </c>
      <c r="H756" s="5">
        <f>IF($G756="正常",ROUND(($F756-$E756)*1440,0),"")</f>
        <v/>
      </c>
      <c r="I756" s="6">
        <f>IF($G756="正常",$H756/60,"")</f>
        <v/>
      </c>
      <c r="J756" s="7">
        <f>IF($G756="正常",ROUND($H756/30,0)/2,"")</f>
        <v/>
      </c>
      <c r="K756" s="7">
        <f>IF($G756="正常",MIN($J756,12),"")</f>
        <v/>
      </c>
      <c r="L756" s="7">
        <f>IF($G756="正常",MAX($J756-12,0),"")</f>
        <v/>
      </c>
    </row>
    <row r="757">
      <c r="A757" s="3" t="inlineStr">
        <is>
          <t>李朝维</t>
        </is>
      </c>
      <c r="B757" s="3" t="inlineStr">
        <is>
          <t>8/12</t>
        </is>
      </c>
      <c r="C757" s="3" t="inlineStr">
        <is>
          <t>三</t>
        </is>
      </c>
      <c r="D757" s="3" t="inlineStr">
        <is>
          <t>09:30 18:34</t>
        </is>
      </c>
      <c r="E757" s="4" t="n">
        <v>0.3958333333333333</v>
      </c>
      <c r="F757" s="4" t="n">
        <v>0.7736111111111111</v>
      </c>
      <c r="G757" s="3">
        <f>IF($E757="","空卡",IF($F757="","单卡","正常"))</f>
        <v/>
      </c>
      <c r="H757" s="5">
        <f>IF($G757="正常",ROUND(($F757-$E757)*1440,0),"")</f>
        <v/>
      </c>
      <c r="I757" s="6">
        <f>IF($G757="正常",$H757/60,"")</f>
        <v/>
      </c>
      <c r="J757" s="7">
        <f>IF($G757="正常",ROUND($H757/30,0)/2,"")</f>
        <v/>
      </c>
      <c r="K757" s="7">
        <f>IF($G757="正常",MIN($J757,12),"")</f>
        <v/>
      </c>
      <c r="L757" s="7">
        <f>IF($G757="正常",MAX($J757-12,0),"")</f>
        <v/>
      </c>
    </row>
    <row r="758">
      <c r="A758" s="3" t="inlineStr">
        <is>
          <t>李朝维</t>
        </is>
      </c>
      <c r="B758" s="3" t="inlineStr">
        <is>
          <t>8/13</t>
        </is>
      </c>
      <c r="C758" s="3" t="inlineStr">
        <is>
          <t>四</t>
        </is>
      </c>
      <c r="D758" s="3" t="inlineStr">
        <is>
          <t>08:21 19:02</t>
        </is>
      </c>
      <c r="E758" s="4" t="n">
        <v>0.3479166666666667</v>
      </c>
      <c r="F758" s="4" t="n">
        <v>0.7930555555555555</v>
      </c>
      <c r="G758" s="3">
        <f>IF($E758="","空卡",IF($F758="","单卡","正常"))</f>
        <v/>
      </c>
      <c r="H758" s="5">
        <f>IF($G758="正常",ROUND(($F758-$E758)*1440,0),"")</f>
        <v/>
      </c>
      <c r="I758" s="6">
        <f>IF($G758="正常",$H758/60,"")</f>
        <v/>
      </c>
      <c r="J758" s="7">
        <f>IF($G758="正常",ROUND($H758/30,0)/2,"")</f>
        <v/>
      </c>
      <c r="K758" s="7">
        <f>IF($G758="正常",MIN($J758,12),"")</f>
        <v/>
      </c>
      <c r="L758" s="7">
        <f>IF($G758="正常",MAX($J758-12,0),"")</f>
        <v/>
      </c>
    </row>
    <row r="759">
      <c r="A759" s="3" t="inlineStr">
        <is>
          <t>李朝维</t>
        </is>
      </c>
      <c r="B759" s="3" t="inlineStr">
        <is>
          <t>8/14</t>
        </is>
      </c>
      <c r="C759" s="3" t="inlineStr">
        <is>
          <t>五</t>
        </is>
      </c>
      <c r="D759" s="3" t="inlineStr">
        <is>
          <t>08:18 20:53</t>
        </is>
      </c>
      <c r="E759" s="4" t="n">
        <v>0.3458333333333333</v>
      </c>
      <c r="F759" s="4" t="n">
        <v>0.8701388888888889</v>
      </c>
      <c r="G759" s="3">
        <f>IF($E759="","空卡",IF($F759="","单卡","正常"))</f>
        <v/>
      </c>
      <c r="H759" s="5">
        <f>IF($G759="正常",ROUND(($F759-$E759)*1440,0),"")</f>
        <v/>
      </c>
      <c r="I759" s="6">
        <f>IF($G759="正常",$H759/60,"")</f>
        <v/>
      </c>
      <c r="J759" s="7">
        <f>IF($G759="正常",ROUND($H759/30,0)/2,"")</f>
        <v/>
      </c>
      <c r="K759" s="7">
        <f>IF($G759="正常",MIN($J759,12),"")</f>
        <v/>
      </c>
      <c r="L759" s="7">
        <f>IF($G759="正常",MAX($J759-12,0),"")</f>
        <v/>
      </c>
    </row>
    <row r="760">
      <c r="A760" s="3" t="inlineStr">
        <is>
          <t>李朝维</t>
        </is>
      </c>
      <c r="B760" s="3" t="inlineStr">
        <is>
          <t>8/15</t>
        </is>
      </c>
      <c r="C760" s="3" t="inlineStr">
        <is>
          <t>六</t>
        </is>
      </c>
      <c r="D760" s="3" t="inlineStr">
        <is>
          <t>06:52 19:00</t>
        </is>
      </c>
      <c r="E760" s="4" t="n">
        <v>0.2861111111111111</v>
      </c>
      <c r="F760" s="4" t="n">
        <v>0.7916666666666666</v>
      </c>
      <c r="G760" s="3">
        <f>IF($E760="","空卡",IF($F760="","单卡","正常"))</f>
        <v/>
      </c>
      <c r="H760" s="5">
        <f>IF($G760="正常",ROUND(($F760-$E760)*1440,0),"")</f>
        <v/>
      </c>
      <c r="I760" s="6">
        <f>IF($G760="正常",$H760/60,"")</f>
        <v/>
      </c>
      <c r="J760" s="7">
        <f>IF($G760="正常",ROUND($H760/30,0)/2,"")</f>
        <v/>
      </c>
      <c r="K760" s="7">
        <f>IF($G760="正常",MIN($J760,12),"")</f>
        <v/>
      </c>
      <c r="L760" s="7">
        <f>IF($G760="正常",MAX($J760-12,0),"")</f>
        <v/>
      </c>
    </row>
    <row r="761">
      <c r="A761" s="8" t="inlineStr">
        <is>
          <t>李朝维</t>
        </is>
      </c>
      <c r="B761" s="8" t="inlineStr">
        <is>
          <t>8/16</t>
        </is>
      </c>
      <c r="C761" s="8" t="inlineStr">
        <is>
          <t>日</t>
        </is>
      </c>
      <c r="D761" s="8" t="inlineStr"/>
      <c r="E761" s="9" t="n"/>
      <c r="F761" s="9" t="n"/>
      <c r="G761" s="10">
        <f>IF($E761="","空卡",IF($F761="","单卡","正常"))</f>
        <v/>
      </c>
      <c r="H761" s="11">
        <f>IF($G761="正常",ROUND(($F761-$E761)*1440,0),"")</f>
        <v/>
      </c>
      <c r="I761" s="12">
        <f>IF($G761="正常",$H761/60,"")</f>
        <v/>
      </c>
      <c r="J761" s="13">
        <f>IF($G761="正常",ROUND($H761/30,0)/2,"")</f>
        <v/>
      </c>
      <c r="K761" s="13">
        <f>IF($G761="正常",MIN($J761,12),"")</f>
        <v/>
      </c>
      <c r="L761" s="13">
        <f>IF($G761="正常",MAX($J761-12,0),"")</f>
        <v/>
      </c>
    </row>
    <row r="762">
      <c r="A762" s="3" t="inlineStr">
        <is>
          <t>李朝维</t>
        </is>
      </c>
      <c r="B762" s="3" t="inlineStr">
        <is>
          <t>8/17</t>
        </is>
      </c>
      <c r="C762" s="3" t="inlineStr">
        <is>
          <t>一</t>
        </is>
      </c>
      <c r="D762" s="3" t="inlineStr">
        <is>
          <t>07:45 19:57</t>
        </is>
      </c>
      <c r="E762" s="4" t="n">
        <v>0.3229166666666667</v>
      </c>
      <c r="F762" s="4" t="n">
        <v>0.83125</v>
      </c>
      <c r="G762" s="3">
        <f>IF($E762="","空卡",IF($F762="","单卡","正常"))</f>
        <v/>
      </c>
      <c r="H762" s="5">
        <f>IF($G762="正常",ROUND(($F762-$E762)*1440,0),"")</f>
        <v/>
      </c>
      <c r="I762" s="6">
        <f>IF($G762="正常",$H762/60,"")</f>
        <v/>
      </c>
      <c r="J762" s="7">
        <f>IF($G762="正常",ROUND($H762/30,0)/2,"")</f>
        <v/>
      </c>
      <c r="K762" s="7">
        <f>IF($G762="正常",MIN($J762,12),"")</f>
        <v/>
      </c>
      <c r="L762" s="7">
        <f>IF($G762="正常",MAX($J762-12,0),"")</f>
        <v/>
      </c>
    </row>
    <row r="763">
      <c r="A763" s="3" t="inlineStr">
        <is>
          <t>李朝维</t>
        </is>
      </c>
      <c r="B763" s="3" t="inlineStr">
        <is>
          <t>8/18</t>
        </is>
      </c>
      <c r="C763" s="3" t="inlineStr">
        <is>
          <t>二</t>
        </is>
      </c>
      <c r="D763" s="3" t="inlineStr">
        <is>
          <t>07:45 18:59</t>
        </is>
      </c>
      <c r="E763" s="4" t="n">
        <v>0.3229166666666667</v>
      </c>
      <c r="F763" s="4" t="n">
        <v>0.7909722222222222</v>
      </c>
      <c r="G763" s="3">
        <f>IF($E763="","空卡",IF($F763="","单卡","正常"))</f>
        <v/>
      </c>
      <c r="H763" s="5">
        <f>IF($G763="正常",ROUND(($F763-$E763)*1440,0),"")</f>
        <v/>
      </c>
      <c r="I763" s="6">
        <f>IF($G763="正常",$H763/60,"")</f>
        <v/>
      </c>
      <c r="J763" s="7">
        <f>IF($G763="正常",ROUND($H763/30,0)/2,"")</f>
        <v/>
      </c>
      <c r="K763" s="7">
        <f>IF($G763="正常",MIN($J763,12),"")</f>
        <v/>
      </c>
      <c r="L763" s="7">
        <f>IF($G763="正常",MAX($J763-12,0),"")</f>
        <v/>
      </c>
    </row>
    <row r="764">
      <c r="A764" s="3" t="inlineStr">
        <is>
          <t>李朝维</t>
        </is>
      </c>
      <c r="B764" s="3" t="inlineStr">
        <is>
          <t>8/19</t>
        </is>
      </c>
      <c r="C764" s="3" t="inlineStr">
        <is>
          <t>三</t>
        </is>
      </c>
      <c r="D764" s="3" t="inlineStr">
        <is>
          <t>07:20 20:29</t>
        </is>
      </c>
      <c r="E764" s="4" t="n">
        <v>0.3055555555555556</v>
      </c>
      <c r="F764" s="4" t="n">
        <v>0.8534722222222222</v>
      </c>
      <c r="G764" s="3">
        <f>IF($E764="","空卡",IF($F764="","单卡","正常"))</f>
        <v/>
      </c>
      <c r="H764" s="5">
        <f>IF($G764="正常",ROUND(($F764-$E764)*1440,0),"")</f>
        <v/>
      </c>
      <c r="I764" s="6">
        <f>IF($G764="正常",$H764/60,"")</f>
        <v/>
      </c>
      <c r="J764" s="7">
        <f>IF($G764="正常",ROUND($H764/30,0)/2,"")</f>
        <v/>
      </c>
      <c r="K764" s="7">
        <f>IF($G764="正常",MIN($J764,12),"")</f>
        <v/>
      </c>
      <c r="L764" s="7">
        <f>IF($G764="正常",MAX($J764-12,0),"")</f>
        <v/>
      </c>
    </row>
    <row r="765">
      <c r="A765" s="3" t="inlineStr">
        <is>
          <t>李朝维</t>
        </is>
      </c>
      <c r="B765" s="3" t="inlineStr">
        <is>
          <t>8/20</t>
        </is>
      </c>
      <c r="C765" s="3" t="inlineStr">
        <is>
          <t>四</t>
        </is>
      </c>
      <c r="D765" s="3" t="inlineStr">
        <is>
          <t>10:21 19:57</t>
        </is>
      </c>
      <c r="E765" s="4" t="n">
        <v>0.43125</v>
      </c>
      <c r="F765" s="4" t="n">
        <v>0.83125</v>
      </c>
      <c r="G765" s="3">
        <f>IF($E765="","空卡",IF($F765="","单卡","正常"))</f>
        <v/>
      </c>
      <c r="H765" s="5">
        <f>IF($G765="正常",ROUND(($F765-$E765)*1440,0),"")</f>
        <v/>
      </c>
      <c r="I765" s="6">
        <f>IF($G765="正常",$H765/60,"")</f>
        <v/>
      </c>
      <c r="J765" s="7">
        <f>IF($G765="正常",ROUND($H765/30,0)/2,"")</f>
        <v/>
      </c>
      <c r="K765" s="7">
        <f>IF($G765="正常",MIN($J765,12),"")</f>
        <v/>
      </c>
      <c r="L765" s="7">
        <f>IF($G765="正常",MAX($J765-12,0),"")</f>
        <v/>
      </c>
    </row>
    <row r="766">
      <c r="A766" s="3" t="inlineStr">
        <is>
          <t>李朝维</t>
        </is>
      </c>
      <c r="B766" s="3" t="inlineStr">
        <is>
          <t>8/21</t>
        </is>
      </c>
      <c r="C766" s="3" t="inlineStr">
        <is>
          <t>五</t>
        </is>
      </c>
      <c r="D766" s="3" t="inlineStr">
        <is>
          <t>06:48 19:01</t>
        </is>
      </c>
      <c r="E766" s="4" t="n">
        <v>0.2833333333333333</v>
      </c>
      <c r="F766" s="4" t="n">
        <v>0.7923611111111111</v>
      </c>
      <c r="G766" s="3">
        <f>IF($E766="","空卡",IF($F766="","单卡","正常"))</f>
        <v/>
      </c>
      <c r="H766" s="5">
        <f>IF($G766="正常",ROUND(($F766-$E766)*1440,0),"")</f>
        <v/>
      </c>
      <c r="I766" s="6">
        <f>IF($G766="正常",$H766/60,"")</f>
        <v/>
      </c>
      <c r="J766" s="7">
        <f>IF($G766="正常",ROUND($H766/30,0)/2,"")</f>
        <v/>
      </c>
      <c r="K766" s="7">
        <f>IF($G766="正常",MIN($J766,12),"")</f>
        <v/>
      </c>
      <c r="L766" s="7">
        <f>IF($G766="正常",MAX($J766-12,0),"")</f>
        <v/>
      </c>
    </row>
    <row r="767">
      <c r="A767" s="3" t="inlineStr">
        <is>
          <t>李朝维</t>
        </is>
      </c>
      <c r="B767" s="3" t="inlineStr">
        <is>
          <t>8/22</t>
        </is>
      </c>
      <c r="C767" s="3" t="inlineStr">
        <is>
          <t>六</t>
        </is>
      </c>
      <c r="D767" s="3" t="inlineStr">
        <is>
          <t>06:48 18:32</t>
        </is>
      </c>
      <c r="E767" s="4" t="n">
        <v>0.2833333333333333</v>
      </c>
      <c r="F767" s="4" t="n">
        <v>0.7722222222222223</v>
      </c>
      <c r="G767" s="3">
        <f>IF($E767="","空卡",IF($F767="","单卡","正常"))</f>
        <v/>
      </c>
      <c r="H767" s="5">
        <f>IF($G767="正常",ROUND(($F767-$E767)*1440,0),"")</f>
        <v/>
      </c>
      <c r="I767" s="6">
        <f>IF($G767="正常",$H767/60,"")</f>
        <v/>
      </c>
      <c r="J767" s="7">
        <f>IF($G767="正常",ROUND($H767/30,0)/2,"")</f>
        <v/>
      </c>
      <c r="K767" s="7">
        <f>IF($G767="正常",MIN($J767,12),"")</f>
        <v/>
      </c>
      <c r="L767" s="7">
        <f>IF($G767="正常",MAX($J767-12,0),"")</f>
        <v/>
      </c>
    </row>
    <row r="768">
      <c r="A768" s="8" t="inlineStr">
        <is>
          <t>李朝维</t>
        </is>
      </c>
      <c r="B768" s="8" t="inlineStr">
        <is>
          <t>8/23</t>
        </is>
      </c>
      <c r="C768" s="8" t="inlineStr">
        <is>
          <t>日</t>
        </is>
      </c>
      <c r="D768" s="8" t="inlineStr"/>
      <c r="E768" s="9" t="n"/>
      <c r="F768" s="9" t="n"/>
      <c r="G768" s="10">
        <f>IF($E768="","空卡",IF($F768="","单卡","正常"))</f>
        <v/>
      </c>
      <c r="H768" s="11">
        <f>IF($G768="正常",ROUND(($F768-$E768)*1440,0),"")</f>
        <v/>
      </c>
      <c r="I768" s="12">
        <f>IF($G768="正常",$H768/60,"")</f>
        <v/>
      </c>
      <c r="J768" s="13">
        <f>IF($G768="正常",ROUND($H768/30,0)/2,"")</f>
        <v/>
      </c>
      <c r="K768" s="13">
        <f>IF($G768="正常",MIN($J768,12),"")</f>
        <v/>
      </c>
      <c r="L768" s="13">
        <f>IF($G768="正常",MAX($J768-12,0),"")</f>
        <v/>
      </c>
    </row>
    <row r="769">
      <c r="A769" s="3" t="inlineStr">
        <is>
          <t>李朝维</t>
        </is>
      </c>
      <c r="B769" s="3" t="inlineStr">
        <is>
          <t>8/24</t>
        </is>
      </c>
      <c r="C769" s="3" t="inlineStr">
        <is>
          <t>一</t>
        </is>
      </c>
      <c r="D769" s="3" t="inlineStr">
        <is>
          <t>06:48 16:35</t>
        </is>
      </c>
      <c r="E769" s="4" t="n">
        <v>0.2833333333333333</v>
      </c>
      <c r="F769" s="4" t="n">
        <v>0.6909722222222222</v>
      </c>
      <c r="G769" s="3">
        <f>IF($E769="","空卡",IF($F769="","单卡","正常"))</f>
        <v/>
      </c>
      <c r="H769" s="5">
        <f>IF($G769="正常",ROUND(($F769-$E769)*1440,0),"")</f>
        <v/>
      </c>
      <c r="I769" s="6">
        <f>IF($G769="正常",$H769/60,"")</f>
        <v/>
      </c>
      <c r="J769" s="7">
        <f>IF($G769="正常",ROUND($H769/30,0)/2,"")</f>
        <v/>
      </c>
      <c r="K769" s="7">
        <f>IF($G769="正常",MIN($J769,12),"")</f>
        <v/>
      </c>
      <c r="L769" s="7">
        <f>IF($G769="正常",MAX($J769-12,0),"")</f>
        <v/>
      </c>
    </row>
    <row r="770">
      <c r="A770" s="3" t="inlineStr">
        <is>
          <t>李朝维</t>
        </is>
      </c>
      <c r="B770" s="3" t="inlineStr">
        <is>
          <t>8/25</t>
        </is>
      </c>
      <c r="C770" s="3" t="inlineStr">
        <is>
          <t>二</t>
        </is>
      </c>
      <c r="D770" s="3" t="inlineStr">
        <is>
          <t>08:26 18:36</t>
        </is>
      </c>
      <c r="E770" s="4" t="n">
        <v>0.3513888888888889</v>
      </c>
      <c r="F770" s="4" t="n">
        <v>0.775</v>
      </c>
      <c r="G770" s="3">
        <f>IF($E770="","空卡",IF($F770="","单卡","正常"))</f>
        <v/>
      </c>
      <c r="H770" s="5">
        <f>IF($G770="正常",ROUND(($F770-$E770)*1440,0),"")</f>
        <v/>
      </c>
      <c r="I770" s="6">
        <f>IF($G770="正常",$H770/60,"")</f>
        <v/>
      </c>
      <c r="J770" s="7">
        <f>IF($G770="正常",ROUND($H770/30,0)/2,"")</f>
        <v/>
      </c>
      <c r="K770" s="7">
        <f>IF($G770="正常",MIN($J770,12),"")</f>
        <v/>
      </c>
      <c r="L770" s="7">
        <f>IF($G770="正常",MAX($J770-12,0),"")</f>
        <v/>
      </c>
    </row>
    <row r="771">
      <c r="A771" s="3" t="inlineStr">
        <is>
          <t>李朝维</t>
        </is>
      </c>
      <c r="B771" s="3" t="inlineStr">
        <is>
          <t>8/26</t>
        </is>
      </c>
      <c r="C771" s="3" t="inlineStr">
        <is>
          <t>三</t>
        </is>
      </c>
      <c r="D771" s="3" t="inlineStr">
        <is>
          <t>07:46 18:55</t>
        </is>
      </c>
      <c r="E771" s="4" t="n">
        <v>0.3236111111111111</v>
      </c>
      <c r="F771" s="4" t="n">
        <v>0.7881944444444444</v>
      </c>
      <c r="G771" s="3">
        <f>IF($E771="","空卡",IF($F771="","单卡","正常"))</f>
        <v/>
      </c>
      <c r="H771" s="5">
        <f>IF($G771="正常",ROUND(($F771-$E771)*1440,0),"")</f>
        <v/>
      </c>
      <c r="I771" s="6">
        <f>IF($G771="正常",$H771/60,"")</f>
        <v/>
      </c>
      <c r="J771" s="7">
        <f>IF($G771="正常",ROUND($H771/30,0)/2,"")</f>
        <v/>
      </c>
      <c r="K771" s="7">
        <f>IF($G771="正常",MIN($J771,12),"")</f>
        <v/>
      </c>
      <c r="L771" s="7">
        <f>IF($G771="正常",MAX($J771-12,0),"")</f>
        <v/>
      </c>
    </row>
    <row r="772">
      <c r="A772" s="3" t="inlineStr">
        <is>
          <t>李朝维</t>
        </is>
      </c>
      <c r="B772" s="3" t="inlineStr">
        <is>
          <t>8/27</t>
        </is>
      </c>
      <c r="C772" s="3" t="inlineStr">
        <is>
          <t>四</t>
        </is>
      </c>
      <c r="D772" s="3" t="inlineStr">
        <is>
          <t>07:48 19:03</t>
        </is>
      </c>
      <c r="E772" s="4" t="n">
        <v>0.325</v>
      </c>
      <c r="F772" s="4" t="n">
        <v>0.79375</v>
      </c>
      <c r="G772" s="3">
        <f>IF($E772="","空卡",IF($F772="","单卡","正常"))</f>
        <v/>
      </c>
      <c r="H772" s="5">
        <f>IF($G772="正常",ROUND(($F772-$E772)*1440,0),"")</f>
        <v/>
      </c>
      <c r="I772" s="6">
        <f>IF($G772="正常",$H772/60,"")</f>
        <v/>
      </c>
      <c r="J772" s="7">
        <f>IF($G772="正常",ROUND($H772/30,0)/2,"")</f>
        <v/>
      </c>
      <c r="K772" s="7">
        <f>IF($G772="正常",MIN($J772,12),"")</f>
        <v/>
      </c>
      <c r="L772" s="7">
        <f>IF($G772="正常",MAX($J772-12,0),"")</f>
        <v/>
      </c>
    </row>
    <row r="773">
      <c r="A773" s="3" t="inlineStr">
        <is>
          <t>李朝维</t>
        </is>
      </c>
      <c r="B773" s="3" t="inlineStr">
        <is>
          <t>8/28</t>
        </is>
      </c>
      <c r="C773" s="3" t="inlineStr">
        <is>
          <t>五</t>
        </is>
      </c>
      <c r="D773" s="3" t="inlineStr">
        <is>
          <t>07:51 18:29</t>
        </is>
      </c>
      <c r="E773" s="4" t="n">
        <v>0.3270833333333333</v>
      </c>
      <c r="F773" s="4" t="n">
        <v>0.7701388888888889</v>
      </c>
      <c r="G773" s="3">
        <f>IF($E773="","空卡",IF($F773="","单卡","正常"))</f>
        <v/>
      </c>
      <c r="H773" s="5">
        <f>IF($G773="正常",ROUND(($F773-$E773)*1440,0),"")</f>
        <v/>
      </c>
      <c r="I773" s="6">
        <f>IF($G773="正常",$H773/60,"")</f>
        <v/>
      </c>
      <c r="J773" s="7">
        <f>IF($G773="正常",ROUND($H773/30,0)/2,"")</f>
        <v/>
      </c>
      <c r="K773" s="7">
        <f>IF($G773="正常",MIN($J773,12),"")</f>
        <v/>
      </c>
      <c r="L773" s="7">
        <f>IF($G773="正常",MAX($J773-12,0),"")</f>
        <v/>
      </c>
    </row>
    <row r="774">
      <c r="A774" s="3" t="inlineStr">
        <is>
          <t>李朝维</t>
        </is>
      </c>
      <c r="B774" s="3" t="inlineStr">
        <is>
          <t>8/29</t>
        </is>
      </c>
      <c r="C774" s="3" t="inlineStr">
        <is>
          <t>六</t>
        </is>
      </c>
      <c r="D774" s="3" t="inlineStr">
        <is>
          <t>07:45 21:58</t>
        </is>
      </c>
      <c r="E774" s="4" t="n">
        <v>0.3229166666666667</v>
      </c>
      <c r="F774" s="4" t="n">
        <v>0.9152777777777777</v>
      </c>
      <c r="G774" s="3">
        <f>IF($E774="","空卡",IF($F774="","单卡","正常"))</f>
        <v/>
      </c>
      <c r="H774" s="5">
        <f>IF($G774="正常",ROUND(($F774-$E774)*1440,0),"")</f>
        <v/>
      </c>
      <c r="I774" s="6">
        <f>IF($G774="正常",$H774/60,"")</f>
        <v/>
      </c>
      <c r="J774" s="7">
        <f>IF($G774="正常",ROUND($H774/30,0)/2,"")</f>
        <v/>
      </c>
      <c r="K774" s="7">
        <f>IF($G774="正常",MIN($J774,12),"")</f>
        <v/>
      </c>
      <c r="L774" s="7">
        <f>IF($G774="正常",MAX($J774-12,0),"")</f>
        <v/>
      </c>
    </row>
    <row r="775">
      <c r="A775" s="3" t="inlineStr">
        <is>
          <t>李朝维</t>
        </is>
      </c>
      <c r="B775" s="3" t="inlineStr">
        <is>
          <t>8/30</t>
        </is>
      </c>
      <c r="C775" s="3" t="inlineStr">
        <is>
          <t>日</t>
        </is>
      </c>
      <c r="D775" s="3" t="inlineStr">
        <is>
          <t>07:44 18:42</t>
        </is>
      </c>
      <c r="E775" s="4" t="n">
        <v>0.3222222222222222</v>
      </c>
      <c r="F775" s="4" t="n">
        <v>0.7791666666666667</v>
      </c>
      <c r="G775" s="3">
        <f>IF($E775="","空卡",IF($F775="","单卡","正常"))</f>
        <v/>
      </c>
      <c r="H775" s="5">
        <f>IF($G775="正常",ROUND(($F775-$E775)*1440,0),"")</f>
        <v/>
      </c>
      <c r="I775" s="6">
        <f>IF($G775="正常",$H775/60,"")</f>
        <v/>
      </c>
      <c r="J775" s="7">
        <f>IF($G775="正常",ROUND($H775/30,0)/2,"")</f>
        <v/>
      </c>
      <c r="K775" s="7">
        <f>IF($G775="正常",MIN($J775,12),"")</f>
        <v/>
      </c>
      <c r="L775" s="7">
        <f>IF($G775="正常",MAX($J775-12,0),"")</f>
        <v/>
      </c>
    </row>
    <row r="776">
      <c r="A776" s="8" t="inlineStr">
        <is>
          <t>李朝维</t>
        </is>
      </c>
      <c r="B776" s="8" t="inlineStr">
        <is>
          <t>8/31</t>
        </is>
      </c>
      <c r="C776" s="8" t="inlineStr">
        <is>
          <t>一</t>
        </is>
      </c>
      <c r="D776" s="8" t="inlineStr"/>
      <c r="E776" s="9" t="n"/>
      <c r="F776" s="9" t="n"/>
      <c r="G776" s="10">
        <f>IF($E776="","空卡",IF($F776="","单卡","正常"))</f>
        <v/>
      </c>
      <c r="H776" s="11">
        <f>IF($G776="正常",ROUND(($F776-$E776)*1440,0),"")</f>
        <v/>
      </c>
      <c r="I776" s="12">
        <f>IF($G776="正常",$H776/60,"")</f>
        <v/>
      </c>
      <c r="J776" s="13">
        <f>IF($G776="正常",ROUND($H776/30,0)/2,"")</f>
        <v/>
      </c>
      <c r="K776" s="13">
        <f>IF($G776="正常",MIN($J776,12),"")</f>
        <v/>
      </c>
      <c r="L776" s="13">
        <f>IF($G776="正常",MAX($J776-12,0),"")</f>
        <v/>
      </c>
    </row>
    <row r="777">
      <c r="A777" s="8" t="inlineStr">
        <is>
          <t>周豪</t>
        </is>
      </c>
      <c r="B777" s="8" t="inlineStr">
        <is>
          <t>8/1</t>
        </is>
      </c>
      <c r="C777" s="8" t="inlineStr">
        <is>
          <t>六</t>
        </is>
      </c>
      <c r="D777" s="8" t="inlineStr"/>
      <c r="E777" s="9" t="n"/>
      <c r="F777" s="9" t="n"/>
      <c r="G777" s="10">
        <f>IF($E777="","空卡",IF($F777="","单卡","正常"))</f>
        <v/>
      </c>
      <c r="H777" s="11">
        <f>IF($G777="正常",ROUND(($F777-$E777)*1440,0),"")</f>
        <v/>
      </c>
      <c r="I777" s="12">
        <f>IF($G777="正常",$H777/60,"")</f>
        <v/>
      </c>
      <c r="J777" s="13">
        <f>IF($G777="正常",ROUND($H777/30,0)/2,"")</f>
        <v/>
      </c>
      <c r="K777" s="13">
        <f>IF($G777="正常",MIN($J777,12),"")</f>
        <v/>
      </c>
      <c r="L777" s="13">
        <f>IF($G777="正常",MAX($J777-12,0),"")</f>
        <v/>
      </c>
    </row>
    <row r="778">
      <c r="A778" s="8" t="inlineStr">
        <is>
          <t>周豪</t>
        </is>
      </c>
      <c r="B778" s="8" t="inlineStr">
        <is>
          <t>8/2</t>
        </is>
      </c>
      <c r="C778" s="8" t="inlineStr">
        <is>
          <t>日</t>
        </is>
      </c>
      <c r="D778" s="8" t="inlineStr"/>
      <c r="E778" s="9" t="n"/>
      <c r="F778" s="9" t="n"/>
      <c r="G778" s="10">
        <f>IF($E778="","空卡",IF($F778="","单卡","正常"))</f>
        <v/>
      </c>
      <c r="H778" s="11">
        <f>IF($G778="正常",ROUND(($F778-$E778)*1440,0),"")</f>
        <v/>
      </c>
      <c r="I778" s="12">
        <f>IF($G778="正常",$H778/60,"")</f>
        <v/>
      </c>
      <c r="J778" s="13">
        <f>IF($G778="正常",ROUND($H778/30,0)/2,"")</f>
        <v/>
      </c>
      <c r="K778" s="13">
        <f>IF($G778="正常",MIN($J778,12),"")</f>
        <v/>
      </c>
      <c r="L778" s="13">
        <f>IF($G778="正常",MAX($J778-12,0),"")</f>
        <v/>
      </c>
    </row>
    <row r="779">
      <c r="A779" s="8" t="inlineStr">
        <is>
          <t>周豪</t>
        </is>
      </c>
      <c r="B779" s="8" t="inlineStr">
        <is>
          <t>8/3</t>
        </is>
      </c>
      <c r="C779" s="8" t="inlineStr">
        <is>
          <t>一</t>
        </is>
      </c>
      <c r="D779" s="8" t="inlineStr"/>
      <c r="E779" s="9" t="n"/>
      <c r="F779" s="9" t="n"/>
      <c r="G779" s="10">
        <f>IF($E779="","空卡",IF($F779="","单卡","正常"))</f>
        <v/>
      </c>
      <c r="H779" s="11">
        <f>IF($G779="正常",ROUND(($F779-$E779)*1440,0),"")</f>
        <v/>
      </c>
      <c r="I779" s="12">
        <f>IF($G779="正常",$H779/60,"")</f>
        <v/>
      </c>
      <c r="J779" s="13">
        <f>IF($G779="正常",ROUND($H779/30,0)/2,"")</f>
        <v/>
      </c>
      <c r="K779" s="13">
        <f>IF($G779="正常",MIN($J779,12),"")</f>
        <v/>
      </c>
      <c r="L779" s="13">
        <f>IF($G779="正常",MAX($J779-12,0),"")</f>
        <v/>
      </c>
    </row>
    <row r="780">
      <c r="A780" s="8" t="inlineStr">
        <is>
          <t>周豪</t>
        </is>
      </c>
      <c r="B780" s="8" t="inlineStr">
        <is>
          <t>8/4</t>
        </is>
      </c>
      <c r="C780" s="8" t="inlineStr">
        <is>
          <t>二</t>
        </is>
      </c>
      <c r="D780" s="8" t="inlineStr"/>
      <c r="E780" s="9" t="n"/>
      <c r="F780" s="9" t="n"/>
      <c r="G780" s="10">
        <f>IF($E780="","空卡",IF($F780="","单卡","正常"))</f>
        <v/>
      </c>
      <c r="H780" s="11">
        <f>IF($G780="正常",ROUND(($F780-$E780)*1440,0),"")</f>
        <v/>
      </c>
      <c r="I780" s="12">
        <f>IF($G780="正常",$H780/60,"")</f>
        <v/>
      </c>
      <c r="J780" s="13">
        <f>IF($G780="正常",ROUND($H780/30,0)/2,"")</f>
        <v/>
      </c>
      <c r="K780" s="13">
        <f>IF($G780="正常",MIN($J780,12),"")</f>
        <v/>
      </c>
      <c r="L780" s="13">
        <f>IF($G780="正常",MAX($J780-12,0),"")</f>
        <v/>
      </c>
    </row>
    <row r="781">
      <c r="A781" s="8" t="inlineStr">
        <is>
          <t>周豪</t>
        </is>
      </c>
      <c r="B781" s="8" t="inlineStr">
        <is>
          <t>8/5</t>
        </is>
      </c>
      <c r="C781" s="8" t="inlineStr">
        <is>
          <t>三</t>
        </is>
      </c>
      <c r="D781" s="8" t="inlineStr"/>
      <c r="E781" s="9" t="n"/>
      <c r="F781" s="9" t="n"/>
      <c r="G781" s="10">
        <f>IF($E781="","空卡",IF($F781="","单卡","正常"))</f>
        <v/>
      </c>
      <c r="H781" s="11">
        <f>IF($G781="正常",ROUND(($F781-$E781)*1440,0),"")</f>
        <v/>
      </c>
      <c r="I781" s="12">
        <f>IF($G781="正常",$H781/60,"")</f>
        <v/>
      </c>
      <c r="J781" s="13">
        <f>IF($G781="正常",ROUND($H781/30,0)/2,"")</f>
        <v/>
      </c>
      <c r="K781" s="13">
        <f>IF($G781="正常",MIN($J781,12),"")</f>
        <v/>
      </c>
      <c r="L781" s="13">
        <f>IF($G781="正常",MAX($J781-12,0),"")</f>
        <v/>
      </c>
    </row>
    <row r="782">
      <c r="A782" s="8" t="inlineStr">
        <is>
          <t>周豪</t>
        </is>
      </c>
      <c r="B782" s="8" t="inlineStr">
        <is>
          <t>8/6</t>
        </is>
      </c>
      <c r="C782" s="8" t="inlineStr">
        <is>
          <t>四</t>
        </is>
      </c>
      <c r="D782" s="8" t="inlineStr"/>
      <c r="E782" s="9" t="n"/>
      <c r="F782" s="9" t="n"/>
      <c r="G782" s="10">
        <f>IF($E782="","空卡",IF($F782="","单卡","正常"))</f>
        <v/>
      </c>
      <c r="H782" s="11">
        <f>IF($G782="正常",ROUND(($F782-$E782)*1440,0),"")</f>
        <v/>
      </c>
      <c r="I782" s="12">
        <f>IF($G782="正常",$H782/60,"")</f>
        <v/>
      </c>
      <c r="J782" s="13">
        <f>IF($G782="正常",ROUND($H782/30,0)/2,"")</f>
        <v/>
      </c>
      <c r="K782" s="13">
        <f>IF($G782="正常",MIN($J782,12),"")</f>
        <v/>
      </c>
      <c r="L782" s="13">
        <f>IF($G782="正常",MAX($J782-12,0),"")</f>
        <v/>
      </c>
    </row>
    <row r="783">
      <c r="A783" s="8" t="inlineStr">
        <is>
          <t>周豪</t>
        </is>
      </c>
      <c r="B783" s="8" t="inlineStr">
        <is>
          <t>8/7</t>
        </is>
      </c>
      <c r="C783" s="8" t="inlineStr">
        <is>
          <t>五</t>
        </is>
      </c>
      <c r="D783" s="8" t="inlineStr"/>
      <c r="E783" s="9" t="n"/>
      <c r="F783" s="9" t="n"/>
      <c r="G783" s="10">
        <f>IF($E783="","空卡",IF($F783="","单卡","正常"))</f>
        <v/>
      </c>
      <c r="H783" s="11">
        <f>IF($G783="正常",ROUND(($F783-$E783)*1440,0),"")</f>
        <v/>
      </c>
      <c r="I783" s="12">
        <f>IF($G783="正常",$H783/60,"")</f>
        <v/>
      </c>
      <c r="J783" s="13">
        <f>IF($G783="正常",ROUND($H783/30,0)/2,"")</f>
        <v/>
      </c>
      <c r="K783" s="13">
        <f>IF($G783="正常",MIN($J783,12),"")</f>
        <v/>
      </c>
      <c r="L783" s="13">
        <f>IF($G783="正常",MAX($J783-12,0),"")</f>
        <v/>
      </c>
    </row>
    <row r="784">
      <c r="A784" s="8" t="inlineStr">
        <is>
          <t>周豪</t>
        </is>
      </c>
      <c r="B784" s="8" t="inlineStr">
        <is>
          <t>8/8</t>
        </is>
      </c>
      <c r="C784" s="8" t="inlineStr">
        <is>
          <t>六</t>
        </is>
      </c>
      <c r="D784" s="8" t="inlineStr"/>
      <c r="E784" s="9" t="n"/>
      <c r="F784" s="9" t="n"/>
      <c r="G784" s="10">
        <f>IF($E784="","空卡",IF($F784="","单卡","正常"))</f>
        <v/>
      </c>
      <c r="H784" s="11">
        <f>IF($G784="正常",ROUND(($F784-$E784)*1440,0),"")</f>
        <v/>
      </c>
      <c r="I784" s="12">
        <f>IF($G784="正常",$H784/60,"")</f>
        <v/>
      </c>
      <c r="J784" s="13">
        <f>IF($G784="正常",ROUND($H784/30,0)/2,"")</f>
        <v/>
      </c>
      <c r="K784" s="13">
        <f>IF($G784="正常",MIN($J784,12),"")</f>
        <v/>
      </c>
      <c r="L784" s="13">
        <f>IF($G784="正常",MAX($J784-12,0),"")</f>
        <v/>
      </c>
    </row>
    <row r="785">
      <c r="A785" s="8" t="inlineStr">
        <is>
          <t>周豪</t>
        </is>
      </c>
      <c r="B785" s="8" t="inlineStr">
        <is>
          <t>8/9</t>
        </is>
      </c>
      <c r="C785" s="8" t="inlineStr">
        <is>
          <t>日</t>
        </is>
      </c>
      <c r="D785" s="8" t="inlineStr"/>
      <c r="E785" s="9" t="n"/>
      <c r="F785" s="9" t="n"/>
      <c r="G785" s="10">
        <f>IF($E785="","空卡",IF($F785="","单卡","正常"))</f>
        <v/>
      </c>
      <c r="H785" s="11">
        <f>IF($G785="正常",ROUND(($F785-$E785)*1440,0),"")</f>
        <v/>
      </c>
      <c r="I785" s="12">
        <f>IF($G785="正常",$H785/60,"")</f>
        <v/>
      </c>
      <c r="J785" s="13">
        <f>IF($G785="正常",ROUND($H785/30,0)/2,"")</f>
        <v/>
      </c>
      <c r="K785" s="13">
        <f>IF($G785="正常",MIN($J785,12),"")</f>
        <v/>
      </c>
      <c r="L785" s="13">
        <f>IF($G785="正常",MAX($J785-12,0),"")</f>
        <v/>
      </c>
    </row>
    <row r="786">
      <c r="A786" s="8" t="inlineStr">
        <is>
          <t>周豪</t>
        </is>
      </c>
      <c r="B786" s="8" t="inlineStr">
        <is>
          <t>8/10</t>
        </is>
      </c>
      <c r="C786" s="8" t="inlineStr">
        <is>
          <t>一</t>
        </is>
      </c>
      <c r="D786" s="8" t="inlineStr"/>
      <c r="E786" s="9" t="n"/>
      <c r="F786" s="9" t="n"/>
      <c r="G786" s="10">
        <f>IF($E786="","空卡",IF($F786="","单卡","正常"))</f>
        <v/>
      </c>
      <c r="H786" s="11">
        <f>IF($G786="正常",ROUND(($F786-$E786)*1440,0),"")</f>
        <v/>
      </c>
      <c r="I786" s="12">
        <f>IF($G786="正常",$H786/60,"")</f>
        <v/>
      </c>
      <c r="J786" s="13">
        <f>IF($G786="正常",ROUND($H786/30,0)/2,"")</f>
        <v/>
      </c>
      <c r="K786" s="13">
        <f>IF($G786="正常",MIN($J786,12),"")</f>
        <v/>
      </c>
      <c r="L786" s="13">
        <f>IF($G786="正常",MAX($J786-12,0),"")</f>
        <v/>
      </c>
    </row>
    <row r="787">
      <c r="A787" s="8" t="inlineStr">
        <is>
          <t>周豪</t>
        </is>
      </c>
      <c r="B787" s="8" t="inlineStr">
        <is>
          <t>8/11</t>
        </is>
      </c>
      <c r="C787" s="8" t="inlineStr">
        <is>
          <t>二</t>
        </is>
      </c>
      <c r="D787" s="8" t="inlineStr"/>
      <c r="E787" s="9" t="n"/>
      <c r="F787" s="9" t="n"/>
      <c r="G787" s="10">
        <f>IF($E787="","空卡",IF($F787="","单卡","正常"))</f>
        <v/>
      </c>
      <c r="H787" s="11">
        <f>IF($G787="正常",ROUND(($F787-$E787)*1440,0),"")</f>
        <v/>
      </c>
      <c r="I787" s="12">
        <f>IF($G787="正常",$H787/60,"")</f>
        <v/>
      </c>
      <c r="J787" s="13">
        <f>IF($G787="正常",ROUND($H787/30,0)/2,"")</f>
        <v/>
      </c>
      <c r="K787" s="13">
        <f>IF($G787="正常",MIN($J787,12),"")</f>
        <v/>
      </c>
      <c r="L787" s="13">
        <f>IF($G787="正常",MAX($J787-12,0),"")</f>
        <v/>
      </c>
    </row>
    <row r="788">
      <c r="A788" s="8" t="inlineStr">
        <is>
          <t>周豪</t>
        </is>
      </c>
      <c r="B788" s="8" t="inlineStr">
        <is>
          <t>8/12</t>
        </is>
      </c>
      <c r="C788" s="8" t="inlineStr">
        <is>
          <t>三</t>
        </is>
      </c>
      <c r="D788" s="8" t="inlineStr"/>
      <c r="E788" s="9" t="n"/>
      <c r="F788" s="9" t="n"/>
      <c r="G788" s="10">
        <f>IF($E788="","空卡",IF($F788="","单卡","正常"))</f>
        <v/>
      </c>
      <c r="H788" s="11">
        <f>IF($G788="正常",ROUND(($F788-$E788)*1440,0),"")</f>
        <v/>
      </c>
      <c r="I788" s="12">
        <f>IF($G788="正常",$H788/60,"")</f>
        <v/>
      </c>
      <c r="J788" s="13">
        <f>IF($G788="正常",ROUND($H788/30,0)/2,"")</f>
        <v/>
      </c>
      <c r="K788" s="13">
        <f>IF($G788="正常",MIN($J788,12),"")</f>
        <v/>
      </c>
      <c r="L788" s="13">
        <f>IF($G788="正常",MAX($J788-12,0),"")</f>
        <v/>
      </c>
    </row>
    <row r="789">
      <c r="A789" s="8" t="inlineStr">
        <is>
          <t>周豪</t>
        </is>
      </c>
      <c r="B789" s="8" t="inlineStr">
        <is>
          <t>8/13</t>
        </is>
      </c>
      <c r="C789" s="8" t="inlineStr">
        <is>
          <t>四</t>
        </is>
      </c>
      <c r="D789" s="8" t="inlineStr"/>
      <c r="E789" s="9" t="n"/>
      <c r="F789" s="9" t="n"/>
      <c r="G789" s="10">
        <f>IF($E789="","空卡",IF($F789="","单卡","正常"))</f>
        <v/>
      </c>
      <c r="H789" s="11">
        <f>IF($G789="正常",ROUND(($F789-$E789)*1440,0),"")</f>
        <v/>
      </c>
      <c r="I789" s="12">
        <f>IF($G789="正常",$H789/60,"")</f>
        <v/>
      </c>
      <c r="J789" s="13">
        <f>IF($G789="正常",ROUND($H789/30,0)/2,"")</f>
        <v/>
      </c>
      <c r="K789" s="13">
        <f>IF($G789="正常",MIN($J789,12),"")</f>
        <v/>
      </c>
      <c r="L789" s="13">
        <f>IF($G789="正常",MAX($J789-12,0),"")</f>
        <v/>
      </c>
    </row>
    <row r="790">
      <c r="A790" s="8" t="inlineStr">
        <is>
          <t>周豪</t>
        </is>
      </c>
      <c r="B790" s="8" t="inlineStr">
        <is>
          <t>8/14</t>
        </is>
      </c>
      <c r="C790" s="8" t="inlineStr">
        <is>
          <t>五</t>
        </is>
      </c>
      <c r="D790" s="8" t="inlineStr"/>
      <c r="E790" s="9" t="n"/>
      <c r="F790" s="9" t="n"/>
      <c r="G790" s="10">
        <f>IF($E790="","空卡",IF($F790="","单卡","正常"))</f>
        <v/>
      </c>
      <c r="H790" s="11">
        <f>IF($G790="正常",ROUND(($F790-$E790)*1440,0),"")</f>
        <v/>
      </c>
      <c r="I790" s="12">
        <f>IF($G790="正常",$H790/60,"")</f>
        <v/>
      </c>
      <c r="J790" s="13">
        <f>IF($G790="正常",ROUND($H790/30,0)/2,"")</f>
        <v/>
      </c>
      <c r="K790" s="13">
        <f>IF($G790="正常",MIN($J790,12),"")</f>
        <v/>
      </c>
      <c r="L790" s="13">
        <f>IF($G790="正常",MAX($J790-12,0),"")</f>
        <v/>
      </c>
    </row>
    <row r="791">
      <c r="A791" s="8" t="inlineStr">
        <is>
          <t>周豪</t>
        </is>
      </c>
      <c r="B791" s="8" t="inlineStr">
        <is>
          <t>8/15</t>
        </is>
      </c>
      <c r="C791" s="8" t="inlineStr">
        <is>
          <t>六</t>
        </is>
      </c>
      <c r="D791" s="8" t="inlineStr"/>
      <c r="E791" s="9" t="n"/>
      <c r="F791" s="9" t="n"/>
      <c r="G791" s="10">
        <f>IF($E791="","空卡",IF($F791="","单卡","正常"))</f>
        <v/>
      </c>
      <c r="H791" s="11">
        <f>IF($G791="正常",ROUND(($F791-$E791)*1440,0),"")</f>
        <v/>
      </c>
      <c r="I791" s="12">
        <f>IF($G791="正常",$H791/60,"")</f>
        <v/>
      </c>
      <c r="J791" s="13">
        <f>IF($G791="正常",ROUND($H791/30,0)/2,"")</f>
        <v/>
      </c>
      <c r="K791" s="13">
        <f>IF($G791="正常",MIN($J791,12),"")</f>
        <v/>
      </c>
      <c r="L791" s="13">
        <f>IF($G791="正常",MAX($J791-12,0),"")</f>
        <v/>
      </c>
    </row>
    <row r="792">
      <c r="A792" s="8" t="inlineStr">
        <is>
          <t>周豪</t>
        </is>
      </c>
      <c r="B792" s="8" t="inlineStr">
        <is>
          <t>8/16</t>
        </is>
      </c>
      <c r="C792" s="8" t="inlineStr">
        <is>
          <t>日</t>
        </is>
      </c>
      <c r="D792" s="8" t="inlineStr"/>
      <c r="E792" s="9" t="n"/>
      <c r="F792" s="9" t="n"/>
      <c r="G792" s="10">
        <f>IF($E792="","空卡",IF($F792="","单卡","正常"))</f>
        <v/>
      </c>
      <c r="H792" s="11">
        <f>IF($G792="正常",ROUND(($F792-$E792)*1440,0),"")</f>
        <v/>
      </c>
      <c r="I792" s="12">
        <f>IF($G792="正常",$H792/60,"")</f>
        <v/>
      </c>
      <c r="J792" s="13">
        <f>IF($G792="正常",ROUND($H792/30,0)/2,"")</f>
        <v/>
      </c>
      <c r="K792" s="13">
        <f>IF($G792="正常",MIN($J792,12),"")</f>
        <v/>
      </c>
      <c r="L792" s="13">
        <f>IF($G792="正常",MAX($J792-12,0),"")</f>
        <v/>
      </c>
    </row>
    <row r="793">
      <c r="A793" s="8" t="inlineStr">
        <is>
          <t>周豪</t>
        </is>
      </c>
      <c r="B793" s="8" t="inlineStr">
        <is>
          <t>8/17</t>
        </is>
      </c>
      <c r="C793" s="8" t="inlineStr">
        <is>
          <t>一</t>
        </is>
      </c>
      <c r="D793" s="8" t="inlineStr"/>
      <c r="E793" s="9" t="n"/>
      <c r="F793" s="9" t="n"/>
      <c r="G793" s="10">
        <f>IF($E793="","空卡",IF($F793="","单卡","正常"))</f>
        <v/>
      </c>
      <c r="H793" s="11">
        <f>IF($G793="正常",ROUND(($F793-$E793)*1440,0),"")</f>
        <v/>
      </c>
      <c r="I793" s="12">
        <f>IF($G793="正常",$H793/60,"")</f>
        <v/>
      </c>
      <c r="J793" s="13">
        <f>IF($G793="正常",ROUND($H793/30,0)/2,"")</f>
        <v/>
      </c>
      <c r="K793" s="13">
        <f>IF($G793="正常",MIN($J793,12),"")</f>
        <v/>
      </c>
      <c r="L793" s="13">
        <f>IF($G793="正常",MAX($J793-12,0),"")</f>
        <v/>
      </c>
    </row>
    <row r="794">
      <c r="A794" s="8" t="inlineStr">
        <is>
          <t>周豪</t>
        </is>
      </c>
      <c r="B794" s="8" t="inlineStr">
        <is>
          <t>8/18</t>
        </is>
      </c>
      <c r="C794" s="8" t="inlineStr">
        <is>
          <t>二</t>
        </is>
      </c>
      <c r="D794" s="8" t="inlineStr"/>
      <c r="E794" s="9" t="n"/>
      <c r="F794" s="9" t="n"/>
      <c r="G794" s="10">
        <f>IF($E794="","空卡",IF($F794="","单卡","正常"))</f>
        <v/>
      </c>
      <c r="H794" s="11">
        <f>IF($G794="正常",ROUND(($F794-$E794)*1440,0),"")</f>
        <v/>
      </c>
      <c r="I794" s="12">
        <f>IF($G794="正常",$H794/60,"")</f>
        <v/>
      </c>
      <c r="J794" s="13">
        <f>IF($G794="正常",ROUND($H794/30,0)/2,"")</f>
        <v/>
      </c>
      <c r="K794" s="13">
        <f>IF($G794="正常",MIN($J794,12),"")</f>
        <v/>
      </c>
      <c r="L794" s="13">
        <f>IF($G794="正常",MAX($J794-12,0),"")</f>
        <v/>
      </c>
    </row>
    <row r="795">
      <c r="A795" s="8" t="inlineStr">
        <is>
          <t>周豪</t>
        </is>
      </c>
      <c r="B795" s="8" t="inlineStr">
        <is>
          <t>8/19</t>
        </is>
      </c>
      <c r="C795" s="8" t="inlineStr">
        <is>
          <t>三</t>
        </is>
      </c>
      <c r="D795" s="8" t="inlineStr"/>
      <c r="E795" s="9" t="n"/>
      <c r="F795" s="9" t="n"/>
      <c r="G795" s="10">
        <f>IF($E795="","空卡",IF($F795="","单卡","正常"))</f>
        <v/>
      </c>
      <c r="H795" s="11">
        <f>IF($G795="正常",ROUND(($F795-$E795)*1440,0),"")</f>
        <v/>
      </c>
      <c r="I795" s="12">
        <f>IF($G795="正常",$H795/60,"")</f>
        <v/>
      </c>
      <c r="J795" s="13">
        <f>IF($G795="正常",ROUND($H795/30,0)/2,"")</f>
        <v/>
      </c>
      <c r="K795" s="13">
        <f>IF($G795="正常",MIN($J795,12),"")</f>
        <v/>
      </c>
      <c r="L795" s="13">
        <f>IF($G795="正常",MAX($J795-12,0),"")</f>
        <v/>
      </c>
    </row>
    <row r="796">
      <c r="A796" s="8" t="inlineStr">
        <is>
          <t>周豪</t>
        </is>
      </c>
      <c r="B796" s="8" t="inlineStr">
        <is>
          <t>8/20</t>
        </is>
      </c>
      <c r="C796" s="8" t="inlineStr">
        <is>
          <t>四</t>
        </is>
      </c>
      <c r="D796" s="8" t="inlineStr"/>
      <c r="E796" s="9" t="n"/>
      <c r="F796" s="9" t="n"/>
      <c r="G796" s="10">
        <f>IF($E796="","空卡",IF($F796="","单卡","正常"))</f>
        <v/>
      </c>
      <c r="H796" s="11">
        <f>IF($G796="正常",ROUND(($F796-$E796)*1440,0),"")</f>
        <v/>
      </c>
      <c r="I796" s="12">
        <f>IF($G796="正常",$H796/60,"")</f>
        <v/>
      </c>
      <c r="J796" s="13">
        <f>IF($G796="正常",ROUND($H796/30,0)/2,"")</f>
        <v/>
      </c>
      <c r="K796" s="13">
        <f>IF($G796="正常",MIN($J796,12),"")</f>
        <v/>
      </c>
      <c r="L796" s="13">
        <f>IF($G796="正常",MAX($J796-12,0),"")</f>
        <v/>
      </c>
    </row>
    <row r="797">
      <c r="A797" s="8" t="inlineStr">
        <is>
          <t>周豪</t>
        </is>
      </c>
      <c r="B797" s="8" t="inlineStr">
        <is>
          <t>8/21</t>
        </is>
      </c>
      <c r="C797" s="8" t="inlineStr">
        <is>
          <t>五</t>
        </is>
      </c>
      <c r="D797" s="8" t="inlineStr"/>
      <c r="E797" s="9" t="n"/>
      <c r="F797" s="9" t="n"/>
      <c r="G797" s="10">
        <f>IF($E797="","空卡",IF($F797="","单卡","正常"))</f>
        <v/>
      </c>
      <c r="H797" s="11">
        <f>IF($G797="正常",ROUND(($F797-$E797)*1440,0),"")</f>
        <v/>
      </c>
      <c r="I797" s="12">
        <f>IF($G797="正常",$H797/60,"")</f>
        <v/>
      </c>
      <c r="J797" s="13">
        <f>IF($G797="正常",ROUND($H797/30,0)/2,"")</f>
        <v/>
      </c>
      <c r="K797" s="13">
        <f>IF($G797="正常",MIN($J797,12),"")</f>
        <v/>
      </c>
      <c r="L797" s="13">
        <f>IF($G797="正常",MAX($J797-12,0),"")</f>
        <v/>
      </c>
    </row>
    <row r="798">
      <c r="A798" s="8" t="inlineStr">
        <is>
          <t>周豪</t>
        </is>
      </c>
      <c r="B798" s="8" t="inlineStr">
        <is>
          <t>8/22</t>
        </is>
      </c>
      <c r="C798" s="8" t="inlineStr">
        <is>
          <t>六</t>
        </is>
      </c>
      <c r="D798" s="8" t="inlineStr"/>
      <c r="E798" s="9" t="n"/>
      <c r="F798" s="9" t="n"/>
      <c r="G798" s="10">
        <f>IF($E798="","空卡",IF($F798="","单卡","正常"))</f>
        <v/>
      </c>
      <c r="H798" s="11">
        <f>IF($G798="正常",ROUND(($F798-$E798)*1440,0),"")</f>
        <v/>
      </c>
      <c r="I798" s="12">
        <f>IF($G798="正常",$H798/60,"")</f>
        <v/>
      </c>
      <c r="J798" s="13">
        <f>IF($G798="正常",ROUND($H798/30,0)/2,"")</f>
        <v/>
      </c>
      <c r="K798" s="13">
        <f>IF($G798="正常",MIN($J798,12),"")</f>
        <v/>
      </c>
      <c r="L798" s="13">
        <f>IF($G798="正常",MAX($J798-12,0),"")</f>
        <v/>
      </c>
    </row>
    <row r="799">
      <c r="A799" s="8" t="inlineStr">
        <is>
          <t>周豪</t>
        </is>
      </c>
      <c r="B799" s="8" t="inlineStr">
        <is>
          <t>8/23</t>
        </is>
      </c>
      <c r="C799" s="8" t="inlineStr">
        <is>
          <t>日</t>
        </is>
      </c>
      <c r="D799" s="8" t="inlineStr"/>
      <c r="E799" s="9" t="n"/>
      <c r="F799" s="9" t="n"/>
      <c r="G799" s="10">
        <f>IF($E799="","空卡",IF($F799="","单卡","正常"))</f>
        <v/>
      </c>
      <c r="H799" s="11">
        <f>IF($G799="正常",ROUND(($F799-$E799)*1440,0),"")</f>
        <v/>
      </c>
      <c r="I799" s="12">
        <f>IF($G799="正常",$H799/60,"")</f>
        <v/>
      </c>
      <c r="J799" s="13">
        <f>IF($G799="正常",ROUND($H799/30,0)/2,"")</f>
        <v/>
      </c>
      <c r="K799" s="13">
        <f>IF($G799="正常",MIN($J799,12),"")</f>
        <v/>
      </c>
      <c r="L799" s="13">
        <f>IF($G799="正常",MAX($J799-12,0),"")</f>
        <v/>
      </c>
    </row>
    <row r="800">
      <c r="A800" s="8" t="inlineStr">
        <is>
          <t>周豪</t>
        </is>
      </c>
      <c r="B800" s="8" t="inlineStr">
        <is>
          <t>8/24</t>
        </is>
      </c>
      <c r="C800" s="8" t="inlineStr">
        <is>
          <t>一</t>
        </is>
      </c>
      <c r="D800" s="8" t="inlineStr"/>
      <c r="E800" s="9" t="n"/>
      <c r="F800" s="9" t="n"/>
      <c r="G800" s="10">
        <f>IF($E800="","空卡",IF($F800="","单卡","正常"))</f>
        <v/>
      </c>
      <c r="H800" s="11">
        <f>IF($G800="正常",ROUND(($F800-$E800)*1440,0),"")</f>
        <v/>
      </c>
      <c r="I800" s="12">
        <f>IF($G800="正常",$H800/60,"")</f>
        <v/>
      </c>
      <c r="J800" s="13">
        <f>IF($G800="正常",ROUND($H800/30,0)/2,"")</f>
        <v/>
      </c>
      <c r="K800" s="13">
        <f>IF($G800="正常",MIN($J800,12),"")</f>
        <v/>
      </c>
      <c r="L800" s="13">
        <f>IF($G800="正常",MAX($J800-12,0),"")</f>
        <v/>
      </c>
    </row>
    <row r="801">
      <c r="A801" s="8" t="inlineStr">
        <is>
          <t>周豪</t>
        </is>
      </c>
      <c r="B801" s="8" t="inlineStr">
        <is>
          <t>8/25</t>
        </is>
      </c>
      <c r="C801" s="8" t="inlineStr">
        <is>
          <t>二</t>
        </is>
      </c>
      <c r="D801" s="8" t="inlineStr"/>
      <c r="E801" s="9" t="n"/>
      <c r="F801" s="9" t="n"/>
      <c r="G801" s="10">
        <f>IF($E801="","空卡",IF($F801="","单卡","正常"))</f>
        <v/>
      </c>
      <c r="H801" s="11">
        <f>IF($G801="正常",ROUND(($F801-$E801)*1440,0),"")</f>
        <v/>
      </c>
      <c r="I801" s="12">
        <f>IF($G801="正常",$H801/60,"")</f>
        <v/>
      </c>
      <c r="J801" s="13">
        <f>IF($G801="正常",ROUND($H801/30,0)/2,"")</f>
        <v/>
      </c>
      <c r="K801" s="13">
        <f>IF($G801="正常",MIN($J801,12),"")</f>
        <v/>
      </c>
      <c r="L801" s="13">
        <f>IF($G801="正常",MAX($J801-12,0),"")</f>
        <v/>
      </c>
    </row>
    <row r="802">
      <c r="A802" s="8" t="inlineStr">
        <is>
          <t>周豪</t>
        </is>
      </c>
      <c r="B802" s="8" t="inlineStr">
        <is>
          <t>8/26</t>
        </is>
      </c>
      <c r="C802" s="8" t="inlineStr">
        <is>
          <t>三</t>
        </is>
      </c>
      <c r="D802" s="8" t="inlineStr"/>
      <c r="E802" s="9" t="n"/>
      <c r="F802" s="9" t="n"/>
      <c r="G802" s="10">
        <f>IF($E802="","空卡",IF($F802="","单卡","正常"))</f>
        <v/>
      </c>
      <c r="H802" s="11">
        <f>IF($G802="正常",ROUND(($F802-$E802)*1440,0),"")</f>
        <v/>
      </c>
      <c r="I802" s="12">
        <f>IF($G802="正常",$H802/60,"")</f>
        <v/>
      </c>
      <c r="J802" s="13">
        <f>IF($G802="正常",ROUND($H802/30,0)/2,"")</f>
        <v/>
      </c>
      <c r="K802" s="13">
        <f>IF($G802="正常",MIN($J802,12),"")</f>
        <v/>
      </c>
      <c r="L802" s="13">
        <f>IF($G802="正常",MAX($J802-12,0),"")</f>
        <v/>
      </c>
    </row>
    <row r="803">
      <c r="A803" s="8" t="inlineStr">
        <is>
          <t>周豪</t>
        </is>
      </c>
      <c r="B803" s="8" t="inlineStr">
        <is>
          <t>8/27</t>
        </is>
      </c>
      <c r="C803" s="8" t="inlineStr">
        <is>
          <t>四</t>
        </is>
      </c>
      <c r="D803" s="8" t="inlineStr"/>
      <c r="E803" s="9" t="n"/>
      <c r="F803" s="9" t="n"/>
      <c r="G803" s="10">
        <f>IF($E803="","空卡",IF($F803="","单卡","正常"))</f>
        <v/>
      </c>
      <c r="H803" s="11">
        <f>IF($G803="正常",ROUND(($F803-$E803)*1440,0),"")</f>
        <v/>
      </c>
      <c r="I803" s="12">
        <f>IF($G803="正常",$H803/60,"")</f>
        <v/>
      </c>
      <c r="J803" s="13">
        <f>IF($G803="正常",ROUND($H803/30,0)/2,"")</f>
        <v/>
      </c>
      <c r="K803" s="13">
        <f>IF($G803="正常",MIN($J803,12),"")</f>
        <v/>
      </c>
      <c r="L803" s="13">
        <f>IF($G803="正常",MAX($J803-12,0),"")</f>
        <v/>
      </c>
    </row>
    <row r="804">
      <c r="A804" s="8" t="inlineStr">
        <is>
          <t>周豪</t>
        </is>
      </c>
      <c r="B804" s="8" t="inlineStr">
        <is>
          <t>8/28</t>
        </is>
      </c>
      <c r="C804" s="8" t="inlineStr">
        <is>
          <t>五</t>
        </is>
      </c>
      <c r="D804" s="8" t="inlineStr"/>
      <c r="E804" s="9" t="n"/>
      <c r="F804" s="9" t="n"/>
      <c r="G804" s="10">
        <f>IF($E804="","空卡",IF($F804="","单卡","正常"))</f>
        <v/>
      </c>
      <c r="H804" s="11">
        <f>IF($G804="正常",ROUND(($F804-$E804)*1440,0),"")</f>
        <v/>
      </c>
      <c r="I804" s="12">
        <f>IF($G804="正常",$H804/60,"")</f>
        <v/>
      </c>
      <c r="J804" s="13">
        <f>IF($G804="正常",ROUND($H804/30,0)/2,"")</f>
        <v/>
      </c>
      <c r="K804" s="13">
        <f>IF($G804="正常",MIN($J804,12),"")</f>
        <v/>
      </c>
      <c r="L804" s="13">
        <f>IF($G804="正常",MAX($J804-12,0),"")</f>
        <v/>
      </c>
    </row>
    <row r="805">
      <c r="A805" s="8" t="inlineStr">
        <is>
          <t>周豪</t>
        </is>
      </c>
      <c r="B805" s="8" t="inlineStr">
        <is>
          <t>8/29</t>
        </is>
      </c>
      <c r="C805" s="8" t="inlineStr">
        <is>
          <t>六</t>
        </is>
      </c>
      <c r="D805" s="8" t="inlineStr"/>
      <c r="E805" s="9" t="n"/>
      <c r="F805" s="9" t="n"/>
      <c r="G805" s="10">
        <f>IF($E805="","空卡",IF($F805="","单卡","正常"))</f>
        <v/>
      </c>
      <c r="H805" s="11">
        <f>IF($G805="正常",ROUND(($F805-$E805)*1440,0),"")</f>
        <v/>
      </c>
      <c r="I805" s="12">
        <f>IF($G805="正常",$H805/60,"")</f>
        <v/>
      </c>
      <c r="J805" s="13">
        <f>IF($G805="正常",ROUND($H805/30,0)/2,"")</f>
        <v/>
      </c>
      <c r="K805" s="13">
        <f>IF($G805="正常",MIN($J805,12),"")</f>
        <v/>
      </c>
      <c r="L805" s="13">
        <f>IF($G805="正常",MAX($J805-12,0),"")</f>
        <v/>
      </c>
    </row>
    <row r="806">
      <c r="A806" s="8" t="inlineStr">
        <is>
          <t>周豪</t>
        </is>
      </c>
      <c r="B806" s="8" t="inlineStr">
        <is>
          <t>8/30</t>
        </is>
      </c>
      <c r="C806" s="8" t="inlineStr">
        <is>
          <t>日</t>
        </is>
      </c>
      <c r="D806" s="8" t="inlineStr"/>
      <c r="E806" s="9" t="n"/>
      <c r="F806" s="9" t="n"/>
      <c r="G806" s="10">
        <f>IF($E806="","空卡",IF($F806="","单卡","正常"))</f>
        <v/>
      </c>
      <c r="H806" s="11">
        <f>IF($G806="正常",ROUND(($F806-$E806)*1440,0),"")</f>
        <v/>
      </c>
      <c r="I806" s="12">
        <f>IF($G806="正常",$H806/60,"")</f>
        <v/>
      </c>
      <c r="J806" s="13">
        <f>IF($G806="正常",ROUND($H806/30,0)/2,"")</f>
        <v/>
      </c>
      <c r="K806" s="13">
        <f>IF($G806="正常",MIN($J806,12),"")</f>
        <v/>
      </c>
      <c r="L806" s="13">
        <f>IF($G806="正常",MAX($J806-12,0),"")</f>
        <v/>
      </c>
    </row>
    <row r="807">
      <c r="A807" s="8" t="inlineStr">
        <is>
          <t>周豪</t>
        </is>
      </c>
      <c r="B807" s="8" t="inlineStr">
        <is>
          <t>8/31</t>
        </is>
      </c>
      <c r="C807" s="8" t="inlineStr">
        <is>
          <t>一</t>
        </is>
      </c>
      <c r="D807" s="8" t="inlineStr"/>
      <c r="E807" s="9" t="n"/>
      <c r="F807" s="9" t="n"/>
      <c r="G807" s="10">
        <f>IF($E807="","空卡",IF($F807="","单卡","正常"))</f>
        <v/>
      </c>
      <c r="H807" s="11">
        <f>IF($G807="正常",ROUND(($F807-$E807)*1440,0),"")</f>
        <v/>
      </c>
      <c r="I807" s="12">
        <f>IF($G807="正常",$H807/60,"")</f>
        <v/>
      </c>
      <c r="J807" s="13">
        <f>IF($G807="正常",ROUND($H807/30,0)/2,"")</f>
        <v/>
      </c>
      <c r="K807" s="13">
        <f>IF($G807="正常",MIN($J807,12),"")</f>
        <v/>
      </c>
      <c r="L807" s="13">
        <f>IF($G807="正常",MAX($J807-12,0),"")</f>
        <v/>
      </c>
    </row>
    <row r="808">
      <c r="A808" s="8" t="inlineStr">
        <is>
          <t>罗祖秀</t>
        </is>
      </c>
      <c r="B808" s="8" t="inlineStr">
        <is>
          <t>8/1</t>
        </is>
      </c>
      <c r="C808" s="8" t="inlineStr">
        <is>
          <t>六</t>
        </is>
      </c>
      <c r="D808" s="8" t="inlineStr"/>
      <c r="E808" s="9" t="n"/>
      <c r="F808" s="9" t="n"/>
      <c r="G808" s="10">
        <f>IF($E808="","空卡",IF($F808="","单卡","正常"))</f>
        <v/>
      </c>
      <c r="H808" s="11">
        <f>IF($G808="正常",ROUND(($F808-$E808)*1440,0),"")</f>
        <v/>
      </c>
      <c r="I808" s="12">
        <f>IF($G808="正常",$H808/60,"")</f>
        <v/>
      </c>
      <c r="J808" s="13">
        <f>IF($G808="正常",ROUND($H808/30,0)/2,"")</f>
        <v/>
      </c>
      <c r="K808" s="13">
        <f>IF($G808="正常",MIN($J808,12),"")</f>
        <v/>
      </c>
      <c r="L808" s="13">
        <f>IF($G808="正常",MAX($J808-12,0),"")</f>
        <v/>
      </c>
    </row>
    <row r="809">
      <c r="A809" s="8" t="inlineStr">
        <is>
          <t>罗祖秀</t>
        </is>
      </c>
      <c r="B809" s="8" t="inlineStr">
        <is>
          <t>8/2</t>
        </is>
      </c>
      <c r="C809" s="8" t="inlineStr">
        <is>
          <t>日</t>
        </is>
      </c>
      <c r="D809" s="8" t="inlineStr"/>
      <c r="E809" s="9" t="n"/>
      <c r="F809" s="9" t="n"/>
      <c r="G809" s="10">
        <f>IF($E809="","空卡",IF($F809="","单卡","正常"))</f>
        <v/>
      </c>
      <c r="H809" s="11">
        <f>IF($G809="正常",ROUND(($F809-$E809)*1440,0),"")</f>
        <v/>
      </c>
      <c r="I809" s="12">
        <f>IF($G809="正常",$H809/60,"")</f>
        <v/>
      </c>
      <c r="J809" s="13">
        <f>IF($G809="正常",ROUND($H809/30,0)/2,"")</f>
        <v/>
      </c>
      <c r="K809" s="13">
        <f>IF($G809="正常",MIN($J809,12),"")</f>
        <v/>
      </c>
      <c r="L809" s="13">
        <f>IF($G809="正常",MAX($J809-12,0),"")</f>
        <v/>
      </c>
    </row>
    <row r="810">
      <c r="A810" s="8" t="inlineStr">
        <is>
          <t>罗祖秀</t>
        </is>
      </c>
      <c r="B810" s="8" t="inlineStr">
        <is>
          <t>8/3</t>
        </is>
      </c>
      <c r="C810" s="8" t="inlineStr">
        <is>
          <t>一</t>
        </is>
      </c>
      <c r="D810" s="8" t="inlineStr"/>
      <c r="E810" s="9" t="n"/>
      <c r="F810" s="9" t="n"/>
      <c r="G810" s="10">
        <f>IF($E810="","空卡",IF($F810="","单卡","正常"))</f>
        <v/>
      </c>
      <c r="H810" s="11">
        <f>IF($G810="正常",ROUND(($F810-$E810)*1440,0),"")</f>
        <v/>
      </c>
      <c r="I810" s="12">
        <f>IF($G810="正常",$H810/60,"")</f>
        <v/>
      </c>
      <c r="J810" s="13">
        <f>IF($G810="正常",ROUND($H810/30,0)/2,"")</f>
        <v/>
      </c>
      <c r="K810" s="13">
        <f>IF($G810="正常",MIN($J810,12),"")</f>
        <v/>
      </c>
      <c r="L810" s="13">
        <f>IF($G810="正常",MAX($J810-12,0),"")</f>
        <v/>
      </c>
    </row>
    <row r="811">
      <c r="A811" s="8" t="inlineStr">
        <is>
          <t>罗祖秀</t>
        </is>
      </c>
      <c r="B811" s="8" t="inlineStr">
        <is>
          <t>8/4</t>
        </is>
      </c>
      <c r="C811" s="8" t="inlineStr">
        <is>
          <t>二</t>
        </is>
      </c>
      <c r="D811" s="8" t="inlineStr"/>
      <c r="E811" s="9" t="n"/>
      <c r="F811" s="9" t="n"/>
      <c r="G811" s="10">
        <f>IF($E811="","空卡",IF($F811="","单卡","正常"))</f>
        <v/>
      </c>
      <c r="H811" s="11">
        <f>IF($G811="正常",ROUND(($F811-$E811)*1440,0),"")</f>
        <v/>
      </c>
      <c r="I811" s="12">
        <f>IF($G811="正常",$H811/60,"")</f>
        <v/>
      </c>
      <c r="J811" s="13">
        <f>IF($G811="正常",ROUND($H811/30,0)/2,"")</f>
        <v/>
      </c>
      <c r="K811" s="13">
        <f>IF($G811="正常",MIN($J811,12),"")</f>
        <v/>
      </c>
      <c r="L811" s="13">
        <f>IF($G811="正常",MAX($J811-12,0),"")</f>
        <v/>
      </c>
    </row>
    <row r="812">
      <c r="A812" s="8" t="inlineStr">
        <is>
          <t>罗祖秀</t>
        </is>
      </c>
      <c r="B812" s="8" t="inlineStr">
        <is>
          <t>8/5</t>
        </is>
      </c>
      <c r="C812" s="8" t="inlineStr">
        <is>
          <t>三</t>
        </is>
      </c>
      <c r="D812" s="8" t="inlineStr"/>
      <c r="E812" s="9" t="n"/>
      <c r="F812" s="9" t="n"/>
      <c r="G812" s="10">
        <f>IF($E812="","空卡",IF($F812="","单卡","正常"))</f>
        <v/>
      </c>
      <c r="H812" s="11">
        <f>IF($G812="正常",ROUND(($F812-$E812)*1440,0),"")</f>
        <v/>
      </c>
      <c r="I812" s="12">
        <f>IF($G812="正常",$H812/60,"")</f>
        <v/>
      </c>
      <c r="J812" s="13">
        <f>IF($G812="正常",ROUND($H812/30,0)/2,"")</f>
        <v/>
      </c>
      <c r="K812" s="13">
        <f>IF($G812="正常",MIN($J812,12),"")</f>
        <v/>
      </c>
      <c r="L812" s="13">
        <f>IF($G812="正常",MAX($J812-12,0),"")</f>
        <v/>
      </c>
    </row>
    <row r="813">
      <c r="A813" s="8" t="inlineStr">
        <is>
          <t>罗祖秀</t>
        </is>
      </c>
      <c r="B813" s="8" t="inlineStr">
        <is>
          <t>8/6</t>
        </is>
      </c>
      <c r="C813" s="8" t="inlineStr">
        <is>
          <t>四</t>
        </is>
      </c>
      <c r="D813" s="8" t="inlineStr"/>
      <c r="E813" s="9" t="n"/>
      <c r="F813" s="9" t="n"/>
      <c r="G813" s="10">
        <f>IF($E813="","空卡",IF($F813="","单卡","正常"))</f>
        <v/>
      </c>
      <c r="H813" s="11">
        <f>IF($G813="正常",ROUND(($F813-$E813)*1440,0),"")</f>
        <v/>
      </c>
      <c r="I813" s="12">
        <f>IF($G813="正常",$H813/60,"")</f>
        <v/>
      </c>
      <c r="J813" s="13">
        <f>IF($G813="正常",ROUND($H813/30,0)/2,"")</f>
        <v/>
      </c>
      <c r="K813" s="13">
        <f>IF($G813="正常",MIN($J813,12),"")</f>
        <v/>
      </c>
      <c r="L813" s="13">
        <f>IF($G813="正常",MAX($J813-12,0),"")</f>
        <v/>
      </c>
    </row>
    <row r="814">
      <c r="A814" s="8" t="inlineStr">
        <is>
          <t>罗祖秀</t>
        </is>
      </c>
      <c r="B814" s="8" t="inlineStr">
        <is>
          <t>8/7</t>
        </is>
      </c>
      <c r="C814" s="8" t="inlineStr">
        <is>
          <t>五</t>
        </is>
      </c>
      <c r="D814" s="8" t="inlineStr"/>
      <c r="E814" s="9" t="n"/>
      <c r="F814" s="9" t="n"/>
      <c r="G814" s="10">
        <f>IF($E814="","空卡",IF($F814="","单卡","正常"))</f>
        <v/>
      </c>
      <c r="H814" s="11">
        <f>IF($G814="正常",ROUND(($F814-$E814)*1440,0),"")</f>
        <v/>
      </c>
      <c r="I814" s="12">
        <f>IF($G814="正常",$H814/60,"")</f>
        <v/>
      </c>
      <c r="J814" s="13">
        <f>IF($G814="正常",ROUND($H814/30,0)/2,"")</f>
        <v/>
      </c>
      <c r="K814" s="13">
        <f>IF($G814="正常",MIN($J814,12),"")</f>
        <v/>
      </c>
      <c r="L814" s="13">
        <f>IF($G814="正常",MAX($J814-12,0),"")</f>
        <v/>
      </c>
    </row>
    <row r="815">
      <c r="A815" s="8" t="inlineStr">
        <is>
          <t>罗祖秀</t>
        </is>
      </c>
      <c r="B815" s="8" t="inlineStr">
        <is>
          <t>8/8</t>
        </is>
      </c>
      <c r="C815" s="8" t="inlineStr">
        <is>
          <t>六</t>
        </is>
      </c>
      <c r="D815" s="8" t="inlineStr"/>
      <c r="E815" s="9" t="n"/>
      <c r="F815" s="9" t="n"/>
      <c r="G815" s="10">
        <f>IF($E815="","空卡",IF($F815="","单卡","正常"))</f>
        <v/>
      </c>
      <c r="H815" s="11">
        <f>IF($G815="正常",ROUND(($F815-$E815)*1440,0),"")</f>
        <v/>
      </c>
      <c r="I815" s="12">
        <f>IF($G815="正常",$H815/60,"")</f>
        <v/>
      </c>
      <c r="J815" s="13">
        <f>IF($G815="正常",ROUND($H815/30,0)/2,"")</f>
        <v/>
      </c>
      <c r="K815" s="13">
        <f>IF($G815="正常",MIN($J815,12),"")</f>
        <v/>
      </c>
      <c r="L815" s="13">
        <f>IF($G815="正常",MAX($J815-12,0),"")</f>
        <v/>
      </c>
    </row>
    <row r="816">
      <c r="A816" s="8" t="inlineStr">
        <is>
          <t>罗祖秀</t>
        </is>
      </c>
      <c r="B816" s="8" t="inlineStr">
        <is>
          <t>8/9</t>
        </is>
      </c>
      <c r="C816" s="8" t="inlineStr">
        <is>
          <t>日</t>
        </is>
      </c>
      <c r="D816" s="8" t="inlineStr"/>
      <c r="E816" s="9" t="n"/>
      <c r="F816" s="9" t="n"/>
      <c r="G816" s="10">
        <f>IF($E816="","空卡",IF($F816="","单卡","正常"))</f>
        <v/>
      </c>
      <c r="H816" s="11">
        <f>IF($G816="正常",ROUND(($F816-$E816)*1440,0),"")</f>
        <v/>
      </c>
      <c r="I816" s="12">
        <f>IF($G816="正常",$H816/60,"")</f>
        <v/>
      </c>
      <c r="J816" s="13">
        <f>IF($G816="正常",ROUND($H816/30,0)/2,"")</f>
        <v/>
      </c>
      <c r="K816" s="13">
        <f>IF($G816="正常",MIN($J816,12),"")</f>
        <v/>
      </c>
      <c r="L816" s="13">
        <f>IF($G816="正常",MAX($J816-12,0),"")</f>
        <v/>
      </c>
    </row>
    <row r="817">
      <c r="A817" s="8" t="inlineStr">
        <is>
          <t>罗祖秀</t>
        </is>
      </c>
      <c r="B817" s="8" t="inlineStr">
        <is>
          <t>8/10</t>
        </is>
      </c>
      <c r="C817" s="8" t="inlineStr">
        <is>
          <t>一</t>
        </is>
      </c>
      <c r="D817" s="8" t="inlineStr"/>
      <c r="E817" s="9" t="n"/>
      <c r="F817" s="9" t="n"/>
      <c r="G817" s="10">
        <f>IF($E817="","空卡",IF($F817="","单卡","正常"))</f>
        <v/>
      </c>
      <c r="H817" s="11">
        <f>IF($G817="正常",ROUND(($F817-$E817)*1440,0),"")</f>
        <v/>
      </c>
      <c r="I817" s="12">
        <f>IF($G817="正常",$H817/60,"")</f>
        <v/>
      </c>
      <c r="J817" s="13">
        <f>IF($G817="正常",ROUND($H817/30,0)/2,"")</f>
        <v/>
      </c>
      <c r="K817" s="13">
        <f>IF($G817="正常",MIN($J817,12),"")</f>
        <v/>
      </c>
      <c r="L817" s="13">
        <f>IF($G817="正常",MAX($J817-12,0),"")</f>
        <v/>
      </c>
    </row>
    <row r="818">
      <c r="A818" s="8" t="inlineStr">
        <is>
          <t>罗祖秀</t>
        </is>
      </c>
      <c r="B818" s="8" t="inlineStr">
        <is>
          <t>8/11</t>
        </is>
      </c>
      <c r="C818" s="8" t="inlineStr">
        <is>
          <t>二</t>
        </is>
      </c>
      <c r="D818" s="8" t="inlineStr"/>
      <c r="E818" s="9" t="n"/>
      <c r="F818" s="9" t="n"/>
      <c r="G818" s="10">
        <f>IF($E818="","空卡",IF($F818="","单卡","正常"))</f>
        <v/>
      </c>
      <c r="H818" s="11">
        <f>IF($G818="正常",ROUND(($F818-$E818)*1440,0),"")</f>
        <v/>
      </c>
      <c r="I818" s="12">
        <f>IF($G818="正常",$H818/60,"")</f>
        <v/>
      </c>
      <c r="J818" s="13">
        <f>IF($G818="正常",ROUND($H818/30,0)/2,"")</f>
        <v/>
      </c>
      <c r="K818" s="13">
        <f>IF($G818="正常",MIN($J818,12),"")</f>
        <v/>
      </c>
      <c r="L818" s="13">
        <f>IF($G818="正常",MAX($J818-12,0),"")</f>
        <v/>
      </c>
    </row>
    <row r="819">
      <c r="A819" s="8" t="inlineStr">
        <is>
          <t>罗祖秀</t>
        </is>
      </c>
      <c r="B819" s="8" t="inlineStr">
        <is>
          <t>8/12</t>
        </is>
      </c>
      <c r="C819" s="8" t="inlineStr">
        <is>
          <t>三</t>
        </is>
      </c>
      <c r="D819" s="8" t="inlineStr"/>
      <c r="E819" s="9" t="n"/>
      <c r="F819" s="9" t="n"/>
      <c r="G819" s="10">
        <f>IF($E819="","空卡",IF($F819="","单卡","正常"))</f>
        <v/>
      </c>
      <c r="H819" s="11">
        <f>IF($G819="正常",ROUND(($F819-$E819)*1440,0),"")</f>
        <v/>
      </c>
      <c r="I819" s="12">
        <f>IF($G819="正常",$H819/60,"")</f>
        <v/>
      </c>
      <c r="J819" s="13">
        <f>IF($G819="正常",ROUND($H819/30,0)/2,"")</f>
        <v/>
      </c>
      <c r="K819" s="13">
        <f>IF($G819="正常",MIN($J819,12),"")</f>
        <v/>
      </c>
      <c r="L819" s="13">
        <f>IF($G819="正常",MAX($J819-12,0),"")</f>
        <v/>
      </c>
    </row>
    <row r="820">
      <c r="A820" s="8" t="inlineStr">
        <is>
          <t>罗祖秀</t>
        </is>
      </c>
      <c r="B820" s="8" t="inlineStr">
        <is>
          <t>8/13</t>
        </is>
      </c>
      <c r="C820" s="8" t="inlineStr">
        <is>
          <t>四</t>
        </is>
      </c>
      <c r="D820" s="8" t="inlineStr"/>
      <c r="E820" s="9" t="n"/>
      <c r="F820" s="9" t="n"/>
      <c r="G820" s="10">
        <f>IF($E820="","空卡",IF($F820="","单卡","正常"))</f>
        <v/>
      </c>
      <c r="H820" s="11">
        <f>IF($G820="正常",ROUND(($F820-$E820)*1440,0),"")</f>
        <v/>
      </c>
      <c r="I820" s="12">
        <f>IF($G820="正常",$H820/60,"")</f>
        <v/>
      </c>
      <c r="J820" s="13">
        <f>IF($G820="正常",ROUND($H820/30,0)/2,"")</f>
        <v/>
      </c>
      <c r="K820" s="13">
        <f>IF($G820="正常",MIN($J820,12),"")</f>
        <v/>
      </c>
      <c r="L820" s="13">
        <f>IF($G820="正常",MAX($J820-12,0),"")</f>
        <v/>
      </c>
    </row>
    <row r="821">
      <c r="A821" s="8" t="inlineStr">
        <is>
          <t>罗祖秀</t>
        </is>
      </c>
      <c r="B821" s="8" t="inlineStr">
        <is>
          <t>8/14</t>
        </is>
      </c>
      <c r="C821" s="8" t="inlineStr">
        <is>
          <t>五</t>
        </is>
      </c>
      <c r="D821" s="8" t="inlineStr"/>
      <c r="E821" s="9" t="n"/>
      <c r="F821" s="9" t="n"/>
      <c r="G821" s="10">
        <f>IF($E821="","空卡",IF($F821="","单卡","正常"))</f>
        <v/>
      </c>
      <c r="H821" s="11">
        <f>IF($G821="正常",ROUND(($F821-$E821)*1440,0),"")</f>
        <v/>
      </c>
      <c r="I821" s="12">
        <f>IF($G821="正常",$H821/60,"")</f>
        <v/>
      </c>
      <c r="J821" s="13">
        <f>IF($G821="正常",ROUND($H821/30,0)/2,"")</f>
        <v/>
      </c>
      <c r="K821" s="13">
        <f>IF($G821="正常",MIN($J821,12),"")</f>
        <v/>
      </c>
      <c r="L821" s="13">
        <f>IF($G821="正常",MAX($J821-12,0),"")</f>
        <v/>
      </c>
    </row>
    <row r="822">
      <c r="A822" s="8" t="inlineStr">
        <is>
          <t>罗祖秀</t>
        </is>
      </c>
      <c r="B822" s="8" t="inlineStr">
        <is>
          <t>8/15</t>
        </is>
      </c>
      <c r="C822" s="8" t="inlineStr">
        <is>
          <t>六</t>
        </is>
      </c>
      <c r="D822" s="8" t="inlineStr"/>
      <c r="E822" s="9" t="n"/>
      <c r="F822" s="9" t="n"/>
      <c r="G822" s="10">
        <f>IF($E822="","空卡",IF($F822="","单卡","正常"))</f>
        <v/>
      </c>
      <c r="H822" s="11">
        <f>IF($G822="正常",ROUND(($F822-$E822)*1440,0),"")</f>
        <v/>
      </c>
      <c r="I822" s="12">
        <f>IF($G822="正常",$H822/60,"")</f>
        <v/>
      </c>
      <c r="J822" s="13">
        <f>IF($G822="正常",ROUND($H822/30,0)/2,"")</f>
        <v/>
      </c>
      <c r="K822" s="13">
        <f>IF($G822="正常",MIN($J822,12),"")</f>
        <v/>
      </c>
      <c r="L822" s="13">
        <f>IF($G822="正常",MAX($J822-12,0),"")</f>
        <v/>
      </c>
    </row>
    <row r="823">
      <c r="A823" s="8" t="inlineStr">
        <is>
          <t>罗祖秀</t>
        </is>
      </c>
      <c r="B823" s="8" t="inlineStr">
        <is>
          <t>8/16</t>
        </is>
      </c>
      <c r="C823" s="8" t="inlineStr">
        <is>
          <t>日</t>
        </is>
      </c>
      <c r="D823" s="8" t="inlineStr"/>
      <c r="E823" s="9" t="n"/>
      <c r="F823" s="9" t="n"/>
      <c r="G823" s="10">
        <f>IF($E823="","空卡",IF($F823="","单卡","正常"))</f>
        <v/>
      </c>
      <c r="H823" s="11">
        <f>IF($G823="正常",ROUND(($F823-$E823)*1440,0),"")</f>
        <v/>
      </c>
      <c r="I823" s="12">
        <f>IF($G823="正常",$H823/60,"")</f>
        <v/>
      </c>
      <c r="J823" s="13">
        <f>IF($G823="正常",ROUND($H823/30,0)/2,"")</f>
        <v/>
      </c>
      <c r="K823" s="13">
        <f>IF($G823="正常",MIN($J823,12),"")</f>
        <v/>
      </c>
      <c r="L823" s="13">
        <f>IF($G823="正常",MAX($J823-12,0),"")</f>
        <v/>
      </c>
    </row>
    <row r="824">
      <c r="A824" s="8" t="inlineStr">
        <is>
          <t>罗祖秀</t>
        </is>
      </c>
      <c r="B824" s="8" t="inlineStr">
        <is>
          <t>8/17</t>
        </is>
      </c>
      <c r="C824" s="8" t="inlineStr">
        <is>
          <t>一</t>
        </is>
      </c>
      <c r="D824" s="8" t="inlineStr"/>
      <c r="E824" s="9" t="n"/>
      <c r="F824" s="9" t="n"/>
      <c r="G824" s="10">
        <f>IF($E824="","空卡",IF($F824="","单卡","正常"))</f>
        <v/>
      </c>
      <c r="H824" s="11">
        <f>IF($G824="正常",ROUND(($F824-$E824)*1440,0),"")</f>
        <v/>
      </c>
      <c r="I824" s="12">
        <f>IF($G824="正常",$H824/60,"")</f>
        <v/>
      </c>
      <c r="J824" s="13">
        <f>IF($G824="正常",ROUND($H824/30,0)/2,"")</f>
        <v/>
      </c>
      <c r="K824" s="13">
        <f>IF($G824="正常",MIN($J824,12),"")</f>
        <v/>
      </c>
      <c r="L824" s="13">
        <f>IF($G824="正常",MAX($J824-12,0),"")</f>
        <v/>
      </c>
    </row>
    <row r="825">
      <c r="A825" s="8" t="inlineStr">
        <is>
          <t>罗祖秀</t>
        </is>
      </c>
      <c r="B825" s="8" t="inlineStr">
        <is>
          <t>8/18</t>
        </is>
      </c>
      <c r="C825" s="8" t="inlineStr">
        <is>
          <t>二</t>
        </is>
      </c>
      <c r="D825" s="8" t="inlineStr"/>
      <c r="E825" s="9" t="n"/>
      <c r="F825" s="9" t="n"/>
      <c r="G825" s="10">
        <f>IF($E825="","空卡",IF($F825="","单卡","正常"))</f>
        <v/>
      </c>
      <c r="H825" s="11">
        <f>IF($G825="正常",ROUND(($F825-$E825)*1440,0),"")</f>
        <v/>
      </c>
      <c r="I825" s="12">
        <f>IF($G825="正常",$H825/60,"")</f>
        <v/>
      </c>
      <c r="J825" s="13">
        <f>IF($G825="正常",ROUND($H825/30,0)/2,"")</f>
        <v/>
      </c>
      <c r="K825" s="13">
        <f>IF($G825="正常",MIN($J825,12),"")</f>
        <v/>
      </c>
      <c r="L825" s="13">
        <f>IF($G825="正常",MAX($J825-12,0),"")</f>
        <v/>
      </c>
    </row>
    <row r="826">
      <c r="A826" s="8" t="inlineStr">
        <is>
          <t>罗祖秀</t>
        </is>
      </c>
      <c r="B826" s="8" t="inlineStr">
        <is>
          <t>8/19</t>
        </is>
      </c>
      <c r="C826" s="8" t="inlineStr">
        <is>
          <t>三</t>
        </is>
      </c>
      <c r="D826" s="8" t="inlineStr"/>
      <c r="E826" s="9" t="n"/>
      <c r="F826" s="9" t="n"/>
      <c r="G826" s="10">
        <f>IF($E826="","空卡",IF($F826="","单卡","正常"))</f>
        <v/>
      </c>
      <c r="H826" s="11">
        <f>IF($G826="正常",ROUND(($F826-$E826)*1440,0),"")</f>
        <v/>
      </c>
      <c r="I826" s="12">
        <f>IF($G826="正常",$H826/60,"")</f>
        <v/>
      </c>
      <c r="J826" s="13">
        <f>IF($G826="正常",ROUND($H826/30,0)/2,"")</f>
        <v/>
      </c>
      <c r="K826" s="13">
        <f>IF($G826="正常",MIN($J826,12),"")</f>
        <v/>
      </c>
      <c r="L826" s="13">
        <f>IF($G826="正常",MAX($J826-12,0),"")</f>
        <v/>
      </c>
    </row>
    <row r="827">
      <c r="A827" s="8" t="inlineStr">
        <is>
          <t>罗祖秀</t>
        </is>
      </c>
      <c r="B827" s="8" t="inlineStr">
        <is>
          <t>8/20</t>
        </is>
      </c>
      <c r="C827" s="8" t="inlineStr">
        <is>
          <t>四</t>
        </is>
      </c>
      <c r="D827" s="8" t="inlineStr"/>
      <c r="E827" s="9" t="n"/>
      <c r="F827" s="9" t="n"/>
      <c r="G827" s="10">
        <f>IF($E827="","空卡",IF($F827="","单卡","正常"))</f>
        <v/>
      </c>
      <c r="H827" s="11">
        <f>IF($G827="正常",ROUND(($F827-$E827)*1440,0),"")</f>
        <v/>
      </c>
      <c r="I827" s="12">
        <f>IF($G827="正常",$H827/60,"")</f>
        <v/>
      </c>
      <c r="J827" s="13">
        <f>IF($G827="正常",ROUND($H827/30,0)/2,"")</f>
        <v/>
      </c>
      <c r="K827" s="13">
        <f>IF($G827="正常",MIN($J827,12),"")</f>
        <v/>
      </c>
      <c r="L827" s="13">
        <f>IF($G827="正常",MAX($J827-12,0),"")</f>
        <v/>
      </c>
    </row>
    <row r="828">
      <c r="A828" s="8" t="inlineStr">
        <is>
          <t>罗祖秀</t>
        </is>
      </c>
      <c r="B828" s="8" t="inlineStr">
        <is>
          <t>8/21</t>
        </is>
      </c>
      <c r="C828" s="8" t="inlineStr">
        <is>
          <t>五</t>
        </is>
      </c>
      <c r="D828" s="8" t="inlineStr"/>
      <c r="E828" s="9" t="n"/>
      <c r="F828" s="9" t="n"/>
      <c r="G828" s="10">
        <f>IF($E828="","空卡",IF($F828="","单卡","正常"))</f>
        <v/>
      </c>
      <c r="H828" s="11">
        <f>IF($G828="正常",ROUND(($F828-$E828)*1440,0),"")</f>
        <v/>
      </c>
      <c r="I828" s="12">
        <f>IF($G828="正常",$H828/60,"")</f>
        <v/>
      </c>
      <c r="J828" s="13">
        <f>IF($G828="正常",ROUND($H828/30,0)/2,"")</f>
        <v/>
      </c>
      <c r="K828" s="13">
        <f>IF($G828="正常",MIN($J828,12),"")</f>
        <v/>
      </c>
      <c r="L828" s="13">
        <f>IF($G828="正常",MAX($J828-12,0),"")</f>
        <v/>
      </c>
    </row>
    <row r="829">
      <c r="A829" s="8" t="inlineStr">
        <is>
          <t>罗祖秀</t>
        </is>
      </c>
      <c r="B829" s="8" t="inlineStr">
        <is>
          <t>8/22</t>
        </is>
      </c>
      <c r="C829" s="8" t="inlineStr">
        <is>
          <t>六</t>
        </is>
      </c>
      <c r="D829" s="8" t="inlineStr"/>
      <c r="E829" s="9" t="n"/>
      <c r="F829" s="9" t="n"/>
      <c r="G829" s="10">
        <f>IF($E829="","空卡",IF($F829="","单卡","正常"))</f>
        <v/>
      </c>
      <c r="H829" s="11">
        <f>IF($G829="正常",ROUND(($F829-$E829)*1440,0),"")</f>
        <v/>
      </c>
      <c r="I829" s="12">
        <f>IF($G829="正常",$H829/60,"")</f>
        <v/>
      </c>
      <c r="J829" s="13">
        <f>IF($G829="正常",ROUND($H829/30,0)/2,"")</f>
        <v/>
      </c>
      <c r="K829" s="13">
        <f>IF($G829="正常",MIN($J829,12),"")</f>
        <v/>
      </c>
      <c r="L829" s="13">
        <f>IF($G829="正常",MAX($J829-12,0),"")</f>
        <v/>
      </c>
    </row>
    <row r="830">
      <c r="A830" s="8" t="inlineStr">
        <is>
          <t>罗祖秀</t>
        </is>
      </c>
      <c r="B830" s="8" t="inlineStr">
        <is>
          <t>8/23</t>
        </is>
      </c>
      <c r="C830" s="8" t="inlineStr">
        <is>
          <t>日</t>
        </is>
      </c>
      <c r="D830" s="8" t="inlineStr"/>
      <c r="E830" s="9" t="n"/>
      <c r="F830" s="9" t="n"/>
      <c r="G830" s="10">
        <f>IF($E830="","空卡",IF($F830="","单卡","正常"))</f>
        <v/>
      </c>
      <c r="H830" s="11">
        <f>IF($G830="正常",ROUND(($F830-$E830)*1440,0),"")</f>
        <v/>
      </c>
      <c r="I830" s="12">
        <f>IF($G830="正常",$H830/60,"")</f>
        <v/>
      </c>
      <c r="J830" s="13">
        <f>IF($G830="正常",ROUND($H830/30,0)/2,"")</f>
        <v/>
      </c>
      <c r="K830" s="13">
        <f>IF($G830="正常",MIN($J830,12),"")</f>
        <v/>
      </c>
      <c r="L830" s="13">
        <f>IF($G830="正常",MAX($J830-12,0),"")</f>
        <v/>
      </c>
    </row>
    <row r="831">
      <c r="A831" s="8" t="inlineStr">
        <is>
          <t>罗祖秀</t>
        </is>
      </c>
      <c r="B831" s="8" t="inlineStr">
        <is>
          <t>8/24</t>
        </is>
      </c>
      <c r="C831" s="8" t="inlineStr">
        <is>
          <t>一</t>
        </is>
      </c>
      <c r="D831" s="8" t="inlineStr"/>
      <c r="E831" s="9" t="n"/>
      <c r="F831" s="9" t="n"/>
      <c r="G831" s="10">
        <f>IF($E831="","空卡",IF($F831="","单卡","正常"))</f>
        <v/>
      </c>
      <c r="H831" s="11">
        <f>IF($G831="正常",ROUND(($F831-$E831)*1440,0),"")</f>
        <v/>
      </c>
      <c r="I831" s="12">
        <f>IF($G831="正常",$H831/60,"")</f>
        <v/>
      </c>
      <c r="J831" s="13">
        <f>IF($G831="正常",ROUND($H831/30,0)/2,"")</f>
        <v/>
      </c>
      <c r="K831" s="13">
        <f>IF($G831="正常",MIN($J831,12),"")</f>
        <v/>
      </c>
      <c r="L831" s="13">
        <f>IF($G831="正常",MAX($J831-12,0),"")</f>
        <v/>
      </c>
    </row>
    <row r="832">
      <c r="A832" s="8" t="inlineStr">
        <is>
          <t>罗祖秀</t>
        </is>
      </c>
      <c r="B832" s="8" t="inlineStr">
        <is>
          <t>8/25</t>
        </is>
      </c>
      <c r="C832" s="8" t="inlineStr">
        <is>
          <t>二</t>
        </is>
      </c>
      <c r="D832" s="8" t="inlineStr"/>
      <c r="E832" s="9" t="n"/>
      <c r="F832" s="9" t="n"/>
      <c r="G832" s="10">
        <f>IF($E832="","空卡",IF($F832="","单卡","正常"))</f>
        <v/>
      </c>
      <c r="H832" s="11">
        <f>IF($G832="正常",ROUND(($F832-$E832)*1440,0),"")</f>
        <v/>
      </c>
      <c r="I832" s="12">
        <f>IF($G832="正常",$H832/60,"")</f>
        <v/>
      </c>
      <c r="J832" s="13">
        <f>IF($G832="正常",ROUND($H832/30,0)/2,"")</f>
        <v/>
      </c>
      <c r="K832" s="13">
        <f>IF($G832="正常",MIN($J832,12),"")</f>
        <v/>
      </c>
      <c r="L832" s="13">
        <f>IF($G832="正常",MAX($J832-12,0),"")</f>
        <v/>
      </c>
    </row>
    <row r="833">
      <c r="A833" s="8" t="inlineStr">
        <is>
          <t>罗祖秀</t>
        </is>
      </c>
      <c r="B833" s="8" t="inlineStr">
        <is>
          <t>8/26</t>
        </is>
      </c>
      <c r="C833" s="8" t="inlineStr">
        <is>
          <t>三</t>
        </is>
      </c>
      <c r="D833" s="8" t="inlineStr"/>
      <c r="E833" s="9" t="n"/>
      <c r="F833" s="9" t="n"/>
      <c r="G833" s="10">
        <f>IF($E833="","空卡",IF($F833="","单卡","正常"))</f>
        <v/>
      </c>
      <c r="H833" s="11">
        <f>IF($G833="正常",ROUND(($F833-$E833)*1440,0),"")</f>
        <v/>
      </c>
      <c r="I833" s="12">
        <f>IF($G833="正常",$H833/60,"")</f>
        <v/>
      </c>
      <c r="J833" s="13">
        <f>IF($G833="正常",ROUND($H833/30,0)/2,"")</f>
        <v/>
      </c>
      <c r="K833" s="13">
        <f>IF($G833="正常",MIN($J833,12),"")</f>
        <v/>
      </c>
      <c r="L833" s="13">
        <f>IF($G833="正常",MAX($J833-12,0),"")</f>
        <v/>
      </c>
    </row>
    <row r="834">
      <c r="A834" s="8" t="inlineStr">
        <is>
          <t>罗祖秀</t>
        </is>
      </c>
      <c r="B834" s="8" t="inlineStr">
        <is>
          <t>8/27</t>
        </is>
      </c>
      <c r="C834" s="8" t="inlineStr">
        <is>
          <t>四</t>
        </is>
      </c>
      <c r="D834" s="8" t="inlineStr"/>
      <c r="E834" s="9" t="n"/>
      <c r="F834" s="9" t="n"/>
      <c r="G834" s="10">
        <f>IF($E834="","空卡",IF($F834="","单卡","正常"))</f>
        <v/>
      </c>
      <c r="H834" s="11">
        <f>IF($G834="正常",ROUND(($F834-$E834)*1440,0),"")</f>
        <v/>
      </c>
      <c r="I834" s="12">
        <f>IF($G834="正常",$H834/60,"")</f>
        <v/>
      </c>
      <c r="J834" s="13">
        <f>IF($G834="正常",ROUND($H834/30,0)/2,"")</f>
        <v/>
      </c>
      <c r="K834" s="13">
        <f>IF($G834="正常",MIN($J834,12),"")</f>
        <v/>
      </c>
      <c r="L834" s="13">
        <f>IF($G834="正常",MAX($J834-12,0),"")</f>
        <v/>
      </c>
    </row>
    <row r="835">
      <c r="A835" s="8" t="inlineStr">
        <is>
          <t>罗祖秀</t>
        </is>
      </c>
      <c r="B835" s="8" t="inlineStr">
        <is>
          <t>8/28</t>
        </is>
      </c>
      <c r="C835" s="8" t="inlineStr">
        <is>
          <t>五</t>
        </is>
      </c>
      <c r="D835" s="8" t="inlineStr"/>
      <c r="E835" s="9" t="n"/>
      <c r="F835" s="9" t="n"/>
      <c r="G835" s="10">
        <f>IF($E835="","空卡",IF($F835="","单卡","正常"))</f>
        <v/>
      </c>
      <c r="H835" s="11">
        <f>IF($G835="正常",ROUND(($F835-$E835)*1440,0),"")</f>
        <v/>
      </c>
      <c r="I835" s="12">
        <f>IF($G835="正常",$H835/60,"")</f>
        <v/>
      </c>
      <c r="J835" s="13">
        <f>IF($G835="正常",ROUND($H835/30,0)/2,"")</f>
        <v/>
      </c>
      <c r="K835" s="13">
        <f>IF($G835="正常",MIN($J835,12),"")</f>
        <v/>
      </c>
      <c r="L835" s="13">
        <f>IF($G835="正常",MAX($J835-12,0),"")</f>
        <v/>
      </c>
    </row>
    <row r="836">
      <c r="A836" s="8" t="inlineStr">
        <is>
          <t>罗祖秀</t>
        </is>
      </c>
      <c r="B836" s="8" t="inlineStr">
        <is>
          <t>8/29</t>
        </is>
      </c>
      <c r="C836" s="8" t="inlineStr">
        <is>
          <t>六</t>
        </is>
      </c>
      <c r="D836" s="8" t="inlineStr"/>
      <c r="E836" s="9" t="n"/>
      <c r="F836" s="9" t="n"/>
      <c r="G836" s="10">
        <f>IF($E836="","空卡",IF($F836="","单卡","正常"))</f>
        <v/>
      </c>
      <c r="H836" s="11">
        <f>IF($G836="正常",ROUND(($F836-$E836)*1440,0),"")</f>
        <v/>
      </c>
      <c r="I836" s="12">
        <f>IF($G836="正常",$H836/60,"")</f>
        <v/>
      </c>
      <c r="J836" s="13">
        <f>IF($G836="正常",ROUND($H836/30,0)/2,"")</f>
        <v/>
      </c>
      <c r="K836" s="13">
        <f>IF($G836="正常",MIN($J836,12),"")</f>
        <v/>
      </c>
      <c r="L836" s="13">
        <f>IF($G836="正常",MAX($J836-12,0),"")</f>
        <v/>
      </c>
    </row>
    <row r="837">
      <c r="A837" s="8" t="inlineStr">
        <is>
          <t>罗祖秀</t>
        </is>
      </c>
      <c r="B837" s="8" t="inlineStr">
        <is>
          <t>8/30</t>
        </is>
      </c>
      <c r="C837" s="8" t="inlineStr">
        <is>
          <t>日</t>
        </is>
      </c>
      <c r="D837" s="8" t="inlineStr"/>
      <c r="E837" s="9" t="n"/>
      <c r="F837" s="9" t="n"/>
      <c r="G837" s="10">
        <f>IF($E837="","空卡",IF($F837="","单卡","正常"))</f>
        <v/>
      </c>
      <c r="H837" s="11">
        <f>IF($G837="正常",ROUND(($F837-$E837)*1440,0),"")</f>
        <v/>
      </c>
      <c r="I837" s="12">
        <f>IF($G837="正常",$H837/60,"")</f>
        <v/>
      </c>
      <c r="J837" s="13">
        <f>IF($G837="正常",ROUND($H837/30,0)/2,"")</f>
        <v/>
      </c>
      <c r="K837" s="13">
        <f>IF($G837="正常",MIN($J837,12),"")</f>
        <v/>
      </c>
      <c r="L837" s="13">
        <f>IF($G837="正常",MAX($J837-12,0),"")</f>
        <v/>
      </c>
    </row>
    <row r="838">
      <c r="A838" s="8" t="inlineStr">
        <is>
          <t>罗祖秀</t>
        </is>
      </c>
      <c r="B838" s="8" t="inlineStr">
        <is>
          <t>8/31</t>
        </is>
      </c>
      <c r="C838" s="8" t="inlineStr">
        <is>
          <t>一</t>
        </is>
      </c>
      <c r="D838" s="8" t="inlineStr"/>
      <c r="E838" s="9" t="n"/>
      <c r="F838" s="9" t="n"/>
      <c r="G838" s="10">
        <f>IF($E838="","空卡",IF($F838="","单卡","正常"))</f>
        <v/>
      </c>
      <c r="H838" s="11">
        <f>IF($G838="正常",ROUND(($F838-$E838)*1440,0),"")</f>
        <v/>
      </c>
      <c r="I838" s="12">
        <f>IF($G838="正常",$H838/60,"")</f>
        <v/>
      </c>
      <c r="J838" s="13">
        <f>IF($G838="正常",ROUND($H838/30,0)/2,"")</f>
        <v/>
      </c>
      <c r="K838" s="13">
        <f>IF($G838="正常",MIN($J838,12),"")</f>
        <v/>
      </c>
      <c r="L838" s="13">
        <f>IF($G838="正常",MAX($J838-12,0),"")</f>
        <v/>
      </c>
    </row>
    <row r="839">
      <c r="A839" s="8" t="inlineStr">
        <is>
          <t>张庆文</t>
        </is>
      </c>
      <c r="B839" s="8" t="inlineStr">
        <is>
          <t>8/1</t>
        </is>
      </c>
      <c r="C839" s="8" t="inlineStr">
        <is>
          <t>六</t>
        </is>
      </c>
      <c r="D839" s="8" t="inlineStr"/>
      <c r="E839" s="9" t="n"/>
      <c r="F839" s="9" t="n"/>
      <c r="G839" s="10">
        <f>IF($E839="","空卡",IF($F839="","单卡","正常"))</f>
        <v/>
      </c>
      <c r="H839" s="11">
        <f>IF($G839="正常",ROUND(($F839-$E839)*1440,0),"")</f>
        <v/>
      </c>
      <c r="I839" s="12">
        <f>IF($G839="正常",$H839/60,"")</f>
        <v/>
      </c>
      <c r="J839" s="13">
        <f>IF($G839="正常",ROUND($H839/30,0)/2,"")</f>
        <v/>
      </c>
      <c r="K839" s="13">
        <f>IF($G839="正常",MIN($J839,12),"")</f>
        <v/>
      </c>
      <c r="L839" s="13">
        <f>IF($G839="正常",MAX($J839-12,0),"")</f>
        <v/>
      </c>
    </row>
    <row r="840">
      <c r="A840" s="8" t="inlineStr">
        <is>
          <t>张庆文</t>
        </is>
      </c>
      <c r="B840" s="8" t="inlineStr">
        <is>
          <t>8/2</t>
        </is>
      </c>
      <c r="C840" s="8" t="inlineStr">
        <is>
          <t>日</t>
        </is>
      </c>
      <c r="D840" s="8" t="inlineStr"/>
      <c r="E840" s="9" t="n"/>
      <c r="F840" s="9" t="n"/>
      <c r="G840" s="10">
        <f>IF($E840="","空卡",IF($F840="","单卡","正常"))</f>
        <v/>
      </c>
      <c r="H840" s="11">
        <f>IF($G840="正常",ROUND(($F840-$E840)*1440,0),"")</f>
        <v/>
      </c>
      <c r="I840" s="12">
        <f>IF($G840="正常",$H840/60,"")</f>
        <v/>
      </c>
      <c r="J840" s="13">
        <f>IF($G840="正常",ROUND($H840/30,0)/2,"")</f>
        <v/>
      </c>
      <c r="K840" s="13">
        <f>IF($G840="正常",MIN($J840,12),"")</f>
        <v/>
      </c>
      <c r="L840" s="13">
        <f>IF($G840="正常",MAX($J840-12,0),"")</f>
        <v/>
      </c>
    </row>
    <row r="841">
      <c r="A841" s="8" t="inlineStr">
        <is>
          <t>张庆文</t>
        </is>
      </c>
      <c r="B841" s="8" t="inlineStr">
        <is>
          <t>8/3</t>
        </is>
      </c>
      <c r="C841" s="8" t="inlineStr">
        <is>
          <t>一</t>
        </is>
      </c>
      <c r="D841" s="8" t="inlineStr"/>
      <c r="E841" s="9" t="n"/>
      <c r="F841" s="9" t="n"/>
      <c r="G841" s="10">
        <f>IF($E841="","空卡",IF($F841="","单卡","正常"))</f>
        <v/>
      </c>
      <c r="H841" s="11">
        <f>IF($G841="正常",ROUND(($F841-$E841)*1440,0),"")</f>
        <v/>
      </c>
      <c r="I841" s="12">
        <f>IF($G841="正常",$H841/60,"")</f>
        <v/>
      </c>
      <c r="J841" s="13">
        <f>IF($G841="正常",ROUND($H841/30,0)/2,"")</f>
        <v/>
      </c>
      <c r="K841" s="13">
        <f>IF($G841="正常",MIN($J841,12),"")</f>
        <v/>
      </c>
      <c r="L841" s="13">
        <f>IF($G841="正常",MAX($J841-12,0),"")</f>
        <v/>
      </c>
    </row>
    <row r="842">
      <c r="A842" s="8" t="inlineStr">
        <is>
          <t>张庆文</t>
        </is>
      </c>
      <c r="B842" s="8" t="inlineStr">
        <is>
          <t>8/4</t>
        </is>
      </c>
      <c r="C842" s="8" t="inlineStr">
        <is>
          <t>二</t>
        </is>
      </c>
      <c r="D842" s="8" t="inlineStr"/>
      <c r="E842" s="9" t="n"/>
      <c r="F842" s="9" t="n"/>
      <c r="G842" s="10">
        <f>IF($E842="","空卡",IF($F842="","单卡","正常"))</f>
        <v/>
      </c>
      <c r="H842" s="11">
        <f>IF($G842="正常",ROUND(($F842-$E842)*1440,0),"")</f>
        <v/>
      </c>
      <c r="I842" s="12">
        <f>IF($G842="正常",$H842/60,"")</f>
        <v/>
      </c>
      <c r="J842" s="13">
        <f>IF($G842="正常",ROUND($H842/30,0)/2,"")</f>
        <v/>
      </c>
      <c r="K842" s="13">
        <f>IF($G842="正常",MIN($J842,12),"")</f>
        <v/>
      </c>
      <c r="L842" s="13">
        <f>IF($G842="正常",MAX($J842-12,0),"")</f>
        <v/>
      </c>
    </row>
    <row r="843">
      <c r="A843" s="8" t="inlineStr">
        <is>
          <t>张庆文</t>
        </is>
      </c>
      <c r="B843" s="8" t="inlineStr">
        <is>
          <t>8/5</t>
        </is>
      </c>
      <c r="C843" s="8" t="inlineStr">
        <is>
          <t>三</t>
        </is>
      </c>
      <c r="D843" s="8" t="inlineStr"/>
      <c r="E843" s="9" t="n"/>
      <c r="F843" s="9" t="n"/>
      <c r="G843" s="10">
        <f>IF($E843="","空卡",IF($F843="","单卡","正常"))</f>
        <v/>
      </c>
      <c r="H843" s="11">
        <f>IF($G843="正常",ROUND(($F843-$E843)*1440,0),"")</f>
        <v/>
      </c>
      <c r="I843" s="12">
        <f>IF($G843="正常",$H843/60,"")</f>
        <v/>
      </c>
      <c r="J843" s="13">
        <f>IF($G843="正常",ROUND($H843/30,0)/2,"")</f>
        <v/>
      </c>
      <c r="K843" s="13">
        <f>IF($G843="正常",MIN($J843,12),"")</f>
        <v/>
      </c>
      <c r="L843" s="13">
        <f>IF($G843="正常",MAX($J843-12,0),"")</f>
        <v/>
      </c>
    </row>
    <row r="844">
      <c r="A844" s="8" t="inlineStr">
        <is>
          <t>张庆文</t>
        </is>
      </c>
      <c r="B844" s="8" t="inlineStr">
        <is>
          <t>8/6</t>
        </is>
      </c>
      <c r="C844" s="8" t="inlineStr">
        <is>
          <t>四</t>
        </is>
      </c>
      <c r="D844" s="8" t="inlineStr"/>
      <c r="E844" s="9" t="n"/>
      <c r="F844" s="9" t="n"/>
      <c r="G844" s="10">
        <f>IF($E844="","空卡",IF($F844="","单卡","正常"))</f>
        <v/>
      </c>
      <c r="H844" s="11">
        <f>IF($G844="正常",ROUND(($F844-$E844)*1440,0),"")</f>
        <v/>
      </c>
      <c r="I844" s="12">
        <f>IF($G844="正常",$H844/60,"")</f>
        <v/>
      </c>
      <c r="J844" s="13">
        <f>IF($G844="正常",ROUND($H844/30,0)/2,"")</f>
        <v/>
      </c>
      <c r="K844" s="13">
        <f>IF($G844="正常",MIN($J844,12),"")</f>
        <v/>
      </c>
      <c r="L844" s="13">
        <f>IF($G844="正常",MAX($J844-12,0),"")</f>
        <v/>
      </c>
    </row>
    <row r="845">
      <c r="A845" s="8" t="inlineStr">
        <is>
          <t>张庆文</t>
        </is>
      </c>
      <c r="B845" s="8" t="inlineStr">
        <is>
          <t>8/7</t>
        </is>
      </c>
      <c r="C845" s="8" t="inlineStr">
        <is>
          <t>五</t>
        </is>
      </c>
      <c r="D845" s="8" t="inlineStr"/>
      <c r="E845" s="9" t="n"/>
      <c r="F845" s="9" t="n"/>
      <c r="G845" s="10">
        <f>IF($E845="","空卡",IF($F845="","单卡","正常"))</f>
        <v/>
      </c>
      <c r="H845" s="11">
        <f>IF($G845="正常",ROUND(($F845-$E845)*1440,0),"")</f>
        <v/>
      </c>
      <c r="I845" s="12">
        <f>IF($G845="正常",$H845/60,"")</f>
        <v/>
      </c>
      <c r="J845" s="13">
        <f>IF($G845="正常",ROUND($H845/30,0)/2,"")</f>
        <v/>
      </c>
      <c r="K845" s="13">
        <f>IF($G845="正常",MIN($J845,12),"")</f>
        <v/>
      </c>
      <c r="L845" s="13">
        <f>IF($G845="正常",MAX($J845-12,0),"")</f>
        <v/>
      </c>
    </row>
    <row r="846">
      <c r="A846" s="8" t="inlineStr">
        <is>
          <t>张庆文</t>
        </is>
      </c>
      <c r="B846" s="8" t="inlineStr">
        <is>
          <t>8/8</t>
        </is>
      </c>
      <c r="C846" s="8" t="inlineStr">
        <is>
          <t>六</t>
        </is>
      </c>
      <c r="D846" s="8" t="inlineStr"/>
      <c r="E846" s="9" t="n"/>
      <c r="F846" s="9" t="n"/>
      <c r="G846" s="10">
        <f>IF($E846="","空卡",IF($F846="","单卡","正常"))</f>
        <v/>
      </c>
      <c r="H846" s="11">
        <f>IF($G846="正常",ROUND(($F846-$E846)*1440,0),"")</f>
        <v/>
      </c>
      <c r="I846" s="12">
        <f>IF($G846="正常",$H846/60,"")</f>
        <v/>
      </c>
      <c r="J846" s="13">
        <f>IF($G846="正常",ROUND($H846/30,0)/2,"")</f>
        <v/>
      </c>
      <c r="K846" s="13">
        <f>IF($G846="正常",MIN($J846,12),"")</f>
        <v/>
      </c>
      <c r="L846" s="13">
        <f>IF($G846="正常",MAX($J846-12,0),"")</f>
        <v/>
      </c>
    </row>
    <row r="847">
      <c r="A847" s="8" t="inlineStr">
        <is>
          <t>张庆文</t>
        </is>
      </c>
      <c r="B847" s="8" t="inlineStr">
        <is>
          <t>8/9</t>
        </is>
      </c>
      <c r="C847" s="8" t="inlineStr">
        <is>
          <t>日</t>
        </is>
      </c>
      <c r="D847" s="8" t="inlineStr"/>
      <c r="E847" s="9" t="n"/>
      <c r="F847" s="9" t="n"/>
      <c r="G847" s="10">
        <f>IF($E847="","空卡",IF($F847="","单卡","正常"))</f>
        <v/>
      </c>
      <c r="H847" s="11">
        <f>IF($G847="正常",ROUND(($F847-$E847)*1440,0),"")</f>
        <v/>
      </c>
      <c r="I847" s="12">
        <f>IF($G847="正常",$H847/60,"")</f>
        <v/>
      </c>
      <c r="J847" s="13">
        <f>IF($G847="正常",ROUND($H847/30,0)/2,"")</f>
        <v/>
      </c>
      <c r="K847" s="13">
        <f>IF($G847="正常",MIN($J847,12),"")</f>
        <v/>
      </c>
      <c r="L847" s="13">
        <f>IF($G847="正常",MAX($J847-12,0),"")</f>
        <v/>
      </c>
    </row>
    <row r="848">
      <c r="A848" s="8" t="inlineStr">
        <is>
          <t>张庆文</t>
        </is>
      </c>
      <c r="B848" s="8" t="inlineStr">
        <is>
          <t>8/10</t>
        </is>
      </c>
      <c r="C848" s="8" t="inlineStr">
        <is>
          <t>一</t>
        </is>
      </c>
      <c r="D848" s="8" t="inlineStr"/>
      <c r="E848" s="9" t="n"/>
      <c r="F848" s="9" t="n"/>
      <c r="G848" s="10">
        <f>IF($E848="","空卡",IF($F848="","单卡","正常"))</f>
        <v/>
      </c>
      <c r="H848" s="11">
        <f>IF($G848="正常",ROUND(($F848-$E848)*1440,0),"")</f>
        <v/>
      </c>
      <c r="I848" s="12">
        <f>IF($G848="正常",$H848/60,"")</f>
        <v/>
      </c>
      <c r="J848" s="13">
        <f>IF($G848="正常",ROUND($H848/30,0)/2,"")</f>
        <v/>
      </c>
      <c r="K848" s="13">
        <f>IF($G848="正常",MIN($J848,12),"")</f>
        <v/>
      </c>
      <c r="L848" s="13">
        <f>IF($G848="正常",MAX($J848-12,0),"")</f>
        <v/>
      </c>
    </row>
    <row r="849">
      <c r="A849" s="8" t="inlineStr">
        <is>
          <t>张庆文</t>
        </is>
      </c>
      <c r="B849" s="8" t="inlineStr">
        <is>
          <t>8/11</t>
        </is>
      </c>
      <c r="C849" s="8" t="inlineStr">
        <is>
          <t>二</t>
        </is>
      </c>
      <c r="D849" s="8" t="inlineStr"/>
      <c r="E849" s="9" t="n"/>
      <c r="F849" s="9" t="n"/>
      <c r="G849" s="10">
        <f>IF($E849="","空卡",IF($F849="","单卡","正常"))</f>
        <v/>
      </c>
      <c r="H849" s="11">
        <f>IF($G849="正常",ROUND(($F849-$E849)*1440,0),"")</f>
        <v/>
      </c>
      <c r="I849" s="12">
        <f>IF($G849="正常",$H849/60,"")</f>
        <v/>
      </c>
      <c r="J849" s="13">
        <f>IF($G849="正常",ROUND($H849/30,0)/2,"")</f>
        <v/>
      </c>
      <c r="K849" s="13">
        <f>IF($G849="正常",MIN($J849,12),"")</f>
        <v/>
      </c>
      <c r="L849" s="13">
        <f>IF($G849="正常",MAX($J849-12,0),"")</f>
        <v/>
      </c>
    </row>
    <row r="850">
      <c r="A850" s="8" t="inlineStr">
        <is>
          <t>张庆文</t>
        </is>
      </c>
      <c r="B850" s="8" t="inlineStr">
        <is>
          <t>8/12</t>
        </is>
      </c>
      <c r="C850" s="8" t="inlineStr">
        <is>
          <t>三</t>
        </is>
      </c>
      <c r="D850" s="8" t="inlineStr"/>
      <c r="E850" s="9" t="n"/>
      <c r="F850" s="9" t="n"/>
      <c r="G850" s="10">
        <f>IF($E850="","空卡",IF($F850="","单卡","正常"))</f>
        <v/>
      </c>
      <c r="H850" s="11">
        <f>IF($G850="正常",ROUND(($F850-$E850)*1440,0),"")</f>
        <v/>
      </c>
      <c r="I850" s="12">
        <f>IF($G850="正常",$H850/60,"")</f>
        <v/>
      </c>
      <c r="J850" s="13">
        <f>IF($G850="正常",ROUND($H850/30,0)/2,"")</f>
        <v/>
      </c>
      <c r="K850" s="13">
        <f>IF($G850="正常",MIN($J850,12),"")</f>
        <v/>
      </c>
      <c r="L850" s="13">
        <f>IF($G850="正常",MAX($J850-12,0),"")</f>
        <v/>
      </c>
    </row>
    <row r="851">
      <c r="A851" s="8" t="inlineStr">
        <is>
          <t>张庆文</t>
        </is>
      </c>
      <c r="B851" s="8" t="inlineStr">
        <is>
          <t>8/13</t>
        </is>
      </c>
      <c r="C851" s="8" t="inlineStr">
        <is>
          <t>四</t>
        </is>
      </c>
      <c r="D851" s="8" t="inlineStr"/>
      <c r="E851" s="9" t="n"/>
      <c r="F851" s="9" t="n"/>
      <c r="G851" s="10">
        <f>IF($E851="","空卡",IF($F851="","单卡","正常"))</f>
        <v/>
      </c>
      <c r="H851" s="11">
        <f>IF($G851="正常",ROUND(($F851-$E851)*1440,0),"")</f>
        <v/>
      </c>
      <c r="I851" s="12">
        <f>IF($G851="正常",$H851/60,"")</f>
        <v/>
      </c>
      <c r="J851" s="13">
        <f>IF($G851="正常",ROUND($H851/30,0)/2,"")</f>
        <v/>
      </c>
      <c r="K851" s="13">
        <f>IF($G851="正常",MIN($J851,12),"")</f>
        <v/>
      </c>
      <c r="L851" s="13">
        <f>IF($G851="正常",MAX($J851-12,0),"")</f>
        <v/>
      </c>
    </row>
    <row r="852">
      <c r="A852" s="8" t="inlineStr">
        <is>
          <t>张庆文</t>
        </is>
      </c>
      <c r="B852" s="8" t="inlineStr">
        <is>
          <t>8/14</t>
        </is>
      </c>
      <c r="C852" s="8" t="inlineStr">
        <is>
          <t>五</t>
        </is>
      </c>
      <c r="D852" s="8" t="inlineStr"/>
      <c r="E852" s="9" t="n"/>
      <c r="F852" s="9" t="n"/>
      <c r="G852" s="10">
        <f>IF($E852="","空卡",IF($F852="","单卡","正常"))</f>
        <v/>
      </c>
      <c r="H852" s="11">
        <f>IF($G852="正常",ROUND(($F852-$E852)*1440,0),"")</f>
        <v/>
      </c>
      <c r="I852" s="12">
        <f>IF($G852="正常",$H852/60,"")</f>
        <v/>
      </c>
      <c r="J852" s="13">
        <f>IF($G852="正常",ROUND($H852/30,0)/2,"")</f>
        <v/>
      </c>
      <c r="K852" s="13">
        <f>IF($G852="正常",MIN($J852,12),"")</f>
        <v/>
      </c>
      <c r="L852" s="13">
        <f>IF($G852="正常",MAX($J852-12,0),"")</f>
        <v/>
      </c>
    </row>
    <row r="853">
      <c r="A853" s="8" t="inlineStr">
        <is>
          <t>张庆文</t>
        </is>
      </c>
      <c r="B853" s="8" t="inlineStr">
        <is>
          <t>8/15</t>
        </is>
      </c>
      <c r="C853" s="8" t="inlineStr">
        <is>
          <t>六</t>
        </is>
      </c>
      <c r="D853" s="8" t="inlineStr"/>
      <c r="E853" s="9" t="n"/>
      <c r="F853" s="9" t="n"/>
      <c r="G853" s="10">
        <f>IF($E853="","空卡",IF($F853="","单卡","正常"))</f>
        <v/>
      </c>
      <c r="H853" s="11">
        <f>IF($G853="正常",ROUND(($F853-$E853)*1440,0),"")</f>
        <v/>
      </c>
      <c r="I853" s="12">
        <f>IF($G853="正常",$H853/60,"")</f>
        <v/>
      </c>
      <c r="J853" s="13">
        <f>IF($G853="正常",ROUND($H853/30,0)/2,"")</f>
        <v/>
      </c>
      <c r="K853" s="13">
        <f>IF($G853="正常",MIN($J853,12),"")</f>
        <v/>
      </c>
      <c r="L853" s="13">
        <f>IF($G853="正常",MAX($J853-12,0),"")</f>
        <v/>
      </c>
    </row>
    <row r="854">
      <c r="A854" s="8" t="inlineStr">
        <is>
          <t>张庆文</t>
        </is>
      </c>
      <c r="B854" s="8" t="inlineStr">
        <is>
          <t>8/16</t>
        </is>
      </c>
      <c r="C854" s="8" t="inlineStr">
        <is>
          <t>日</t>
        </is>
      </c>
      <c r="D854" s="8" t="inlineStr"/>
      <c r="E854" s="9" t="n"/>
      <c r="F854" s="9" t="n"/>
      <c r="G854" s="10">
        <f>IF($E854="","空卡",IF($F854="","单卡","正常"))</f>
        <v/>
      </c>
      <c r="H854" s="11">
        <f>IF($G854="正常",ROUND(($F854-$E854)*1440,0),"")</f>
        <v/>
      </c>
      <c r="I854" s="12">
        <f>IF($G854="正常",$H854/60,"")</f>
        <v/>
      </c>
      <c r="J854" s="13">
        <f>IF($G854="正常",ROUND($H854/30,0)/2,"")</f>
        <v/>
      </c>
      <c r="K854" s="13">
        <f>IF($G854="正常",MIN($J854,12),"")</f>
        <v/>
      </c>
      <c r="L854" s="13">
        <f>IF($G854="正常",MAX($J854-12,0),"")</f>
        <v/>
      </c>
    </row>
    <row r="855">
      <c r="A855" s="8" t="inlineStr">
        <is>
          <t>张庆文</t>
        </is>
      </c>
      <c r="B855" s="8" t="inlineStr">
        <is>
          <t>8/17</t>
        </is>
      </c>
      <c r="C855" s="8" t="inlineStr">
        <is>
          <t>一</t>
        </is>
      </c>
      <c r="D855" s="8" t="inlineStr"/>
      <c r="E855" s="9" t="n"/>
      <c r="F855" s="9" t="n"/>
      <c r="G855" s="10">
        <f>IF($E855="","空卡",IF($F855="","单卡","正常"))</f>
        <v/>
      </c>
      <c r="H855" s="11">
        <f>IF($G855="正常",ROUND(($F855-$E855)*1440,0),"")</f>
        <v/>
      </c>
      <c r="I855" s="12">
        <f>IF($G855="正常",$H855/60,"")</f>
        <v/>
      </c>
      <c r="J855" s="13">
        <f>IF($G855="正常",ROUND($H855/30,0)/2,"")</f>
        <v/>
      </c>
      <c r="K855" s="13">
        <f>IF($G855="正常",MIN($J855,12),"")</f>
        <v/>
      </c>
      <c r="L855" s="13">
        <f>IF($G855="正常",MAX($J855-12,0),"")</f>
        <v/>
      </c>
    </row>
    <row r="856">
      <c r="A856" s="8" t="inlineStr">
        <is>
          <t>张庆文</t>
        </is>
      </c>
      <c r="B856" s="8" t="inlineStr">
        <is>
          <t>8/18</t>
        </is>
      </c>
      <c r="C856" s="8" t="inlineStr">
        <is>
          <t>二</t>
        </is>
      </c>
      <c r="D856" s="8" t="inlineStr"/>
      <c r="E856" s="9" t="n"/>
      <c r="F856" s="9" t="n"/>
      <c r="G856" s="10">
        <f>IF($E856="","空卡",IF($F856="","单卡","正常"))</f>
        <v/>
      </c>
      <c r="H856" s="11">
        <f>IF($G856="正常",ROUND(($F856-$E856)*1440,0),"")</f>
        <v/>
      </c>
      <c r="I856" s="12">
        <f>IF($G856="正常",$H856/60,"")</f>
        <v/>
      </c>
      <c r="J856" s="13">
        <f>IF($G856="正常",ROUND($H856/30,0)/2,"")</f>
        <v/>
      </c>
      <c r="K856" s="13">
        <f>IF($G856="正常",MIN($J856,12),"")</f>
        <v/>
      </c>
      <c r="L856" s="13">
        <f>IF($G856="正常",MAX($J856-12,0),"")</f>
        <v/>
      </c>
    </row>
    <row r="857">
      <c r="A857" s="8" t="inlineStr">
        <is>
          <t>张庆文</t>
        </is>
      </c>
      <c r="B857" s="8" t="inlineStr">
        <is>
          <t>8/19</t>
        </is>
      </c>
      <c r="C857" s="8" t="inlineStr">
        <is>
          <t>三</t>
        </is>
      </c>
      <c r="D857" s="8" t="inlineStr"/>
      <c r="E857" s="9" t="n"/>
      <c r="F857" s="9" t="n"/>
      <c r="G857" s="10">
        <f>IF($E857="","空卡",IF($F857="","单卡","正常"))</f>
        <v/>
      </c>
      <c r="H857" s="11">
        <f>IF($G857="正常",ROUND(($F857-$E857)*1440,0),"")</f>
        <v/>
      </c>
      <c r="I857" s="12">
        <f>IF($G857="正常",$H857/60,"")</f>
        <v/>
      </c>
      <c r="J857" s="13">
        <f>IF($G857="正常",ROUND($H857/30,0)/2,"")</f>
        <v/>
      </c>
      <c r="K857" s="13">
        <f>IF($G857="正常",MIN($J857,12),"")</f>
        <v/>
      </c>
      <c r="L857" s="13">
        <f>IF($G857="正常",MAX($J857-12,0),"")</f>
        <v/>
      </c>
    </row>
    <row r="858">
      <c r="A858" s="8" t="inlineStr">
        <is>
          <t>张庆文</t>
        </is>
      </c>
      <c r="B858" s="8" t="inlineStr">
        <is>
          <t>8/20</t>
        </is>
      </c>
      <c r="C858" s="8" t="inlineStr">
        <is>
          <t>四</t>
        </is>
      </c>
      <c r="D858" s="8" t="inlineStr"/>
      <c r="E858" s="9" t="n"/>
      <c r="F858" s="9" t="n"/>
      <c r="G858" s="10">
        <f>IF($E858="","空卡",IF($F858="","单卡","正常"))</f>
        <v/>
      </c>
      <c r="H858" s="11">
        <f>IF($G858="正常",ROUND(($F858-$E858)*1440,0),"")</f>
        <v/>
      </c>
      <c r="I858" s="12">
        <f>IF($G858="正常",$H858/60,"")</f>
        <v/>
      </c>
      <c r="J858" s="13">
        <f>IF($G858="正常",ROUND($H858/30,0)/2,"")</f>
        <v/>
      </c>
      <c r="K858" s="13">
        <f>IF($G858="正常",MIN($J858,12),"")</f>
        <v/>
      </c>
      <c r="L858" s="13">
        <f>IF($G858="正常",MAX($J858-12,0),"")</f>
        <v/>
      </c>
    </row>
    <row r="859">
      <c r="A859" s="8" t="inlineStr">
        <is>
          <t>张庆文</t>
        </is>
      </c>
      <c r="B859" s="8" t="inlineStr">
        <is>
          <t>8/21</t>
        </is>
      </c>
      <c r="C859" s="8" t="inlineStr">
        <is>
          <t>五</t>
        </is>
      </c>
      <c r="D859" s="8" t="inlineStr"/>
      <c r="E859" s="9" t="n"/>
      <c r="F859" s="9" t="n"/>
      <c r="G859" s="10">
        <f>IF($E859="","空卡",IF($F859="","单卡","正常"))</f>
        <v/>
      </c>
      <c r="H859" s="11">
        <f>IF($G859="正常",ROUND(($F859-$E859)*1440,0),"")</f>
        <v/>
      </c>
      <c r="I859" s="12">
        <f>IF($G859="正常",$H859/60,"")</f>
        <v/>
      </c>
      <c r="J859" s="13">
        <f>IF($G859="正常",ROUND($H859/30,0)/2,"")</f>
        <v/>
      </c>
      <c r="K859" s="13">
        <f>IF($G859="正常",MIN($J859,12),"")</f>
        <v/>
      </c>
      <c r="L859" s="13">
        <f>IF($G859="正常",MAX($J859-12,0),"")</f>
        <v/>
      </c>
    </row>
    <row r="860">
      <c r="A860" s="8" t="inlineStr">
        <is>
          <t>张庆文</t>
        </is>
      </c>
      <c r="B860" s="8" t="inlineStr">
        <is>
          <t>8/22</t>
        </is>
      </c>
      <c r="C860" s="8" t="inlineStr">
        <is>
          <t>六</t>
        </is>
      </c>
      <c r="D860" s="8" t="inlineStr"/>
      <c r="E860" s="9" t="n"/>
      <c r="F860" s="9" t="n"/>
      <c r="G860" s="10">
        <f>IF($E860="","空卡",IF($F860="","单卡","正常"))</f>
        <v/>
      </c>
      <c r="H860" s="11">
        <f>IF($G860="正常",ROUND(($F860-$E860)*1440,0),"")</f>
        <v/>
      </c>
      <c r="I860" s="12">
        <f>IF($G860="正常",$H860/60,"")</f>
        <v/>
      </c>
      <c r="J860" s="13">
        <f>IF($G860="正常",ROUND($H860/30,0)/2,"")</f>
        <v/>
      </c>
      <c r="K860" s="13">
        <f>IF($G860="正常",MIN($J860,12),"")</f>
        <v/>
      </c>
      <c r="L860" s="13">
        <f>IF($G860="正常",MAX($J860-12,0),"")</f>
        <v/>
      </c>
    </row>
    <row r="861">
      <c r="A861" s="8" t="inlineStr">
        <is>
          <t>张庆文</t>
        </is>
      </c>
      <c r="B861" s="8" t="inlineStr">
        <is>
          <t>8/23</t>
        </is>
      </c>
      <c r="C861" s="8" t="inlineStr">
        <is>
          <t>日</t>
        </is>
      </c>
      <c r="D861" s="8" t="inlineStr"/>
      <c r="E861" s="9" t="n"/>
      <c r="F861" s="9" t="n"/>
      <c r="G861" s="10">
        <f>IF($E861="","空卡",IF($F861="","单卡","正常"))</f>
        <v/>
      </c>
      <c r="H861" s="11">
        <f>IF($G861="正常",ROUND(($F861-$E861)*1440,0),"")</f>
        <v/>
      </c>
      <c r="I861" s="12">
        <f>IF($G861="正常",$H861/60,"")</f>
        <v/>
      </c>
      <c r="J861" s="13">
        <f>IF($G861="正常",ROUND($H861/30,0)/2,"")</f>
        <v/>
      </c>
      <c r="K861" s="13">
        <f>IF($G861="正常",MIN($J861,12),"")</f>
        <v/>
      </c>
      <c r="L861" s="13">
        <f>IF($G861="正常",MAX($J861-12,0),"")</f>
        <v/>
      </c>
    </row>
    <row r="862">
      <c r="A862" s="8" t="inlineStr">
        <is>
          <t>张庆文</t>
        </is>
      </c>
      <c r="B862" s="8" t="inlineStr">
        <is>
          <t>8/24</t>
        </is>
      </c>
      <c r="C862" s="8" t="inlineStr">
        <is>
          <t>一</t>
        </is>
      </c>
      <c r="D862" s="8" t="inlineStr"/>
      <c r="E862" s="9" t="n"/>
      <c r="F862" s="9" t="n"/>
      <c r="G862" s="10">
        <f>IF($E862="","空卡",IF($F862="","单卡","正常"))</f>
        <v/>
      </c>
      <c r="H862" s="11">
        <f>IF($G862="正常",ROUND(($F862-$E862)*1440,0),"")</f>
        <v/>
      </c>
      <c r="I862" s="12">
        <f>IF($G862="正常",$H862/60,"")</f>
        <v/>
      </c>
      <c r="J862" s="13">
        <f>IF($G862="正常",ROUND($H862/30,0)/2,"")</f>
        <v/>
      </c>
      <c r="K862" s="13">
        <f>IF($G862="正常",MIN($J862,12),"")</f>
        <v/>
      </c>
      <c r="L862" s="13">
        <f>IF($G862="正常",MAX($J862-12,0),"")</f>
        <v/>
      </c>
    </row>
    <row r="863">
      <c r="A863" s="8" t="inlineStr">
        <is>
          <t>张庆文</t>
        </is>
      </c>
      <c r="B863" s="8" t="inlineStr">
        <is>
          <t>8/25</t>
        </is>
      </c>
      <c r="C863" s="8" t="inlineStr">
        <is>
          <t>二</t>
        </is>
      </c>
      <c r="D863" s="8" t="inlineStr"/>
      <c r="E863" s="9" t="n"/>
      <c r="F863" s="9" t="n"/>
      <c r="G863" s="10">
        <f>IF($E863="","空卡",IF($F863="","单卡","正常"))</f>
        <v/>
      </c>
      <c r="H863" s="11">
        <f>IF($G863="正常",ROUND(($F863-$E863)*1440,0),"")</f>
        <v/>
      </c>
      <c r="I863" s="12">
        <f>IF($G863="正常",$H863/60,"")</f>
        <v/>
      </c>
      <c r="J863" s="13">
        <f>IF($G863="正常",ROUND($H863/30,0)/2,"")</f>
        <v/>
      </c>
      <c r="K863" s="13">
        <f>IF($G863="正常",MIN($J863,12),"")</f>
        <v/>
      </c>
      <c r="L863" s="13">
        <f>IF($G863="正常",MAX($J863-12,0),"")</f>
        <v/>
      </c>
    </row>
    <row r="864">
      <c r="A864" s="8" t="inlineStr">
        <is>
          <t>张庆文</t>
        </is>
      </c>
      <c r="B864" s="8" t="inlineStr">
        <is>
          <t>8/26</t>
        </is>
      </c>
      <c r="C864" s="8" t="inlineStr">
        <is>
          <t>三</t>
        </is>
      </c>
      <c r="D864" s="8" t="inlineStr"/>
      <c r="E864" s="9" t="n"/>
      <c r="F864" s="9" t="n"/>
      <c r="G864" s="10">
        <f>IF($E864="","空卡",IF($F864="","单卡","正常"))</f>
        <v/>
      </c>
      <c r="H864" s="11">
        <f>IF($G864="正常",ROUND(($F864-$E864)*1440,0),"")</f>
        <v/>
      </c>
      <c r="I864" s="12">
        <f>IF($G864="正常",$H864/60,"")</f>
        <v/>
      </c>
      <c r="J864" s="13">
        <f>IF($G864="正常",ROUND($H864/30,0)/2,"")</f>
        <v/>
      </c>
      <c r="K864" s="13">
        <f>IF($G864="正常",MIN($J864,12),"")</f>
        <v/>
      </c>
      <c r="L864" s="13">
        <f>IF($G864="正常",MAX($J864-12,0),"")</f>
        <v/>
      </c>
    </row>
    <row r="865">
      <c r="A865" s="8" t="inlineStr">
        <is>
          <t>张庆文</t>
        </is>
      </c>
      <c r="B865" s="8" t="inlineStr">
        <is>
          <t>8/27</t>
        </is>
      </c>
      <c r="C865" s="8" t="inlineStr">
        <is>
          <t>四</t>
        </is>
      </c>
      <c r="D865" s="8" t="inlineStr"/>
      <c r="E865" s="9" t="n"/>
      <c r="F865" s="9" t="n"/>
      <c r="G865" s="10">
        <f>IF($E865="","空卡",IF($F865="","单卡","正常"))</f>
        <v/>
      </c>
      <c r="H865" s="11">
        <f>IF($G865="正常",ROUND(($F865-$E865)*1440,0),"")</f>
        <v/>
      </c>
      <c r="I865" s="12">
        <f>IF($G865="正常",$H865/60,"")</f>
        <v/>
      </c>
      <c r="J865" s="13">
        <f>IF($G865="正常",ROUND($H865/30,0)/2,"")</f>
        <v/>
      </c>
      <c r="K865" s="13">
        <f>IF($G865="正常",MIN($J865,12),"")</f>
        <v/>
      </c>
      <c r="L865" s="13">
        <f>IF($G865="正常",MAX($J865-12,0),"")</f>
        <v/>
      </c>
    </row>
    <row r="866">
      <c r="A866" s="8" t="inlineStr">
        <is>
          <t>张庆文</t>
        </is>
      </c>
      <c r="B866" s="8" t="inlineStr">
        <is>
          <t>8/28</t>
        </is>
      </c>
      <c r="C866" s="8" t="inlineStr">
        <is>
          <t>五</t>
        </is>
      </c>
      <c r="D866" s="8" t="inlineStr"/>
      <c r="E866" s="9" t="n"/>
      <c r="F866" s="9" t="n"/>
      <c r="G866" s="10">
        <f>IF($E866="","空卡",IF($F866="","单卡","正常"))</f>
        <v/>
      </c>
      <c r="H866" s="11">
        <f>IF($G866="正常",ROUND(($F866-$E866)*1440,0),"")</f>
        <v/>
      </c>
      <c r="I866" s="12">
        <f>IF($G866="正常",$H866/60,"")</f>
        <v/>
      </c>
      <c r="J866" s="13">
        <f>IF($G866="正常",ROUND($H866/30,0)/2,"")</f>
        <v/>
      </c>
      <c r="K866" s="13">
        <f>IF($G866="正常",MIN($J866,12),"")</f>
        <v/>
      </c>
      <c r="L866" s="13">
        <f>IF($G866="正常",MAX($J866-12,0),"")</f>
        <v/>
      </c>
    </row>
    <row r="867">
      <c r="A867" s="8" t="inlineStr">
        <is>
          <t>张庆文</t>
        </is>
      </c>
      <c r="B867" s="8" t="inlineStr">
        <is>
          <t>8/29</t>
        </is>
      </c>
      <c r="C867" s="8" t="inlineStr">
        <is>
          <t>六</t>
        </is>
      </c>
      <c r="D867" s="8" t="inlineStr"/>
      <c r="E867" s="9" t="n"/>
      <c r="F867" s="9" t="n"/>
      <c r="G867" s="10">
        <f>IF($E867="","空卡",IF($F867="","单卡","正常"))</f>
        <v/>
      </c>
      <c r="H867" s="11">
        <f>IF($G867="正常",ROUND(($F867-$E867)*1440,0),"")</f>
        <v/>
      </c>
      <c r="I867" s="12">
        <f>IF($G867="正常",$H867/60,"")</f>
        <v/>
      </c>
      <c r="J867" s="13">
        <f>IF($G867="正常",ROUND($H867/30,0)/2,"")</f>
        <v/>
      </c>
      <c r="K867" s="13">
        <f>IF($G867="正常",MIN($J867,12),"")</f>
        <v/>
      </c>
      <c r="L867" s="13">
        <f>IF($G867="正常",MAX($J867-12,0),"")</f>
        <v/>
      </c>
    </row>
    <row r="868">
      <c r="A868" s="8" t="inlineStr">
        <is>
          <t>张庆文</t>
        </is>
      </c>
      <c r="B868" s="8" t="inlineStr">
        <is>
          <t>8/30</t>
        </is>
      </c>
      <c r="C868" s="8" t="inlineStr">
        <is>
          <t>日</t>
        </is>
      </c>
      <c r="D868" s="8" t="inlineStr"/>
      <c r="E868" s="9" t="n"/>
      <c r="F868" s="9" t="n"/>
      <c r="G868" s="10">
        <f>IF($E868="","空卡",IF($F868="","单卡","正常"))</f>
        <v/>
      </c>
      <c r="H868" s="11">
        <f>IF($G868="正常",ROUND(($F868-$E868)*1440,0),"")</f>
        <v/>
      </c>
      <c r="I868" s="12">
        <f>IF($G868="正常",$H868/60,"")</f>
        <v/>
      </c>
      <c r="J868" s="13">
        <f>IF($G868="正常",ROUND($H868/30,0)/2,"")</f>
        <v/>
      </c>
      <c r="K868" s="13">
        <f>IF($G868="正常",MIN($J868,12),"")</f>
        <v/>
      </c>
      <c r="L868" s="13">
        <f>IF($G868="正常",MAX($J868-12,0),"")</f>
        <v/>
      </c>
    </row>
    <row r="869">
      <c r="A869" s="8" t="inlineStr">
        <is>
          <t>张庆文</t>
        </is>
      </c>
      <c r="B869" s="8" t="inlineStr">
        <is>
          <t>8/31</t>
        </is>
      </c>
      <c r="C869" s="8" t="inlineStr">
        <is>
          <t>一</t>
        </is>
      </c>
      <c r="D869" s="8" t="inlineStr"/>
      <c r="E869" s="9" t="n"/>
      <c r="F869" s="9" t="n"/>
      <c r="G869" s="10">
        <f>IF($E869="","空卡",IF($F869="","单卡","正常"))</f>
        <v/>
      </c>
      <c r="H869" s="11">
        <f>IF($G869="正常",ROUND(($F869-$E869)*1440,0),"")</f>
        <v/>
      </c>
      <c r="I869" s="12">
        <f>IF($G869="正常",$H869/60,"")</f>
        <v/>
      </c>
      <c r="J869" s="13">
        <f>IF($G869="正常",ROUND($H869/30,0)/2,"")</f>
        <v/>
      </c>
      <c r="K869" s="13">
        <f>IF($G869="正常",MIN($J869,12),"")</f>
        <v/>
      </c>
      <c r="L869" s="13">
        <f>IF($G869="正常",MAX($J869-12,0),"")</f>
        <v/>
      </c>
    </row>
    <row r="870">
      <c r="A870" s="8" t="inlineStr">
        <is>
          <t>夏尚明</t>
        </is>
      </c>
      <c r="B870" s="8" t="inlineStr">
        <is>
          <t>8/1</t>
        </is>
      </c>
      <c r="C870" s="8" t="inlineStr">
        <is>
          <t>六</t>
        </is>
      </c>
      <c r="D870" s="8" t="inlineStr"/>
      <c r="E870" s="9" t="n"/>
      <c r="F870" s="9" t="n"/>
      <c r="G870" s="10">
        <f>IF($E870="","空卡",IF($F870="","单卡","正常"))</f>
        <v/>
      </c>
      <c r="H870" s="11">
        <f>IF($G870="正常",ROUND(($F870-$E870)*1440,0),"")</f>
        <v/>
      </c>
      <c r="I870" s="12">
        <f>IF($G870="正常",$H870/60,"")</f>
        <v/>
      </c>
      <c r="J870" s="13">
        <f>IF($G870="正常",ROUND($H870/30,0)/2,"")</f>
        <v/>
      </c>
      <c r="K870" s="13">
        <f>IF($G870="正常",MIN($J870,12),"")</f>
        <v/>
      </c>
      <c r="L870" s="13">
        <f>IF($G870="正常",MAX($J870-12,0),"")</f>
        <v/>
      </c>
    </row>
    <row r="871">
      <c r="A871" s="8" t="inlineStr">
        <is>
          <t>夏尚明</t>
        </is>
      </c>
      <c r="B871" s="8" t="inlineStr">
        <is>
          <t>8/2</t>
        </is>
      </c>
      <c r="C871" s="8" t="inlineStr">
        <is>
          <t>日</t>
        </is>
      </c>
      <c r="D871" s="8" t="inlineStr"/>
      <c r="E871" s="9" t="n"/>
      <c r="F871" s="9" t="n"/>
      <c r="G871" s="10">
        <f>IF($E871="","空卡",IF($F871="","单卡","正常"))</f>
        <v/>
      </c>
      <c r="H871" s="11">
        <f>IF($G871="正常",ROUND(($F871-$E871)*1440,0),"")</f>
        <v/>
      </c>
      <c r="I871" s="12">
        <f>IF($G871="正常",$H871/60,"")</f>
        <v/>
      </c>
      <c r="J871" s="13">
        <f>IF($G871="正常",ROUND($H871/30,0)/2,"")</f>
        <v/>
      </c>
      <c r="K871" s="13">
        <f>IF($G871="正常",MIN($J871,12),"")</f>
        <v/>
      </c>
      <c r="L871" s="13">
        <f>IF($G871="正常",MAX($J871-12,0),"")</f>
        <v/>
      </c>
    </row>
    <row r="872">
      <c r="A872" s="3" t="inlineStr">
        <is>
          <t>夏尚明</t>
        </is>
      </c>
      <c r="B872" s="3" t="inlineStr">
        <is>
          <t>8/3</t>
        </is>
      </c>
      <c r="C872" s="3" t="inlineStr">
        <is>
          <t>一</t>
        </is>
      </c>
      <c r="D872" s="3" t="inlineStr">
        <is>
          <t>08:18 15:31</t>
        </is>
      </c>
      <c r="E872" s="4" t="n">
        <v>0.3458333333333333</v>
      </c>
      <c r="F872" s="4" t="n">
        <v>0.6465277777777778</v>
      </c>
      <c r="G872" s="3">
        <f>IF($E872="","空卡",IF($F872="","单卡","正常"))</f>
        <v/>
      </c>
      <c r="H872" s="5">
        <f>IF($G872="正常",ROUND(($F872-$E872)*1440,0),"")</f>
        <v/>
      </c>
      <c r="I872" s="6">
        <f>IF($G872="正常",$H872/60,"")</f>
        <v/>
      </c>
      <c r="J872" s="7">
        <f>IF($G872="正常",ROUND($H872/30,0)/2,"")</f>
        <v/>
      </c>
      <c r="K872" s="7">
        <f>IF($G872="正常",MIN($J872,12),"")</f>
        <v/>
      </c>
      <c r="L872" s="7">
        <f>IF($G872="正常",MAX($J872-12,0),"")</f>
        <v/>
      </c>
    </row>
    <row r="873">
      <c r="A873" s="3" t="inlineStr">
        <is>
          <t>夏尚明</t>
        </is>
      </c>
      <c r="B873" s="3" t="inlineStr">
        <is>
          <t>8/4</t>
        </is>
      </c>
      <c r="C873" s="3" t="inlineStr">
        <is>
          <t>二</t>
        </is>
      </c>
      <c r="D873" s="3" t="inlineStr">
        <is>
          <t>07:48 19:34</t>
        </is>
      </c>
      <c r="E873" s="4" t="n">
        <v>0.325</v>
      </c>
      <c r="F873" s="4" t="n">
        <v>0.8152777777777778</v>
      </c>
      <c r="G873" s="3">
        <f>IF($E873="","空卡",IF($F873="","单卡","正常"))</f>
        <v/>
      </c>
      <c r="H873" s="5">
        <f>IF($G873="正常",ROUND(($F873-$E873)*1440,0),"")</f>
        <v/>
      </c>
      <c r="I873" s="6">
        <f>IF($G873="正常",$H873/60,"")</f>
        <v/>
      </c>
      <c r="J873" s="7">
        <f>IF($G873="正常",ROUND($H873/30,0)/2,"")</f>
        <v/>
      </c>
      <c r="K873" s="7">
        <f>IF($G873="正常",MIN($J873,12),"")</f>
        <v/>
      </c>
      <c r="L873" s="7">
        <f>IF($G873="正常",MAX($J873-12,0),"")</f>
        <v/>
      </c>
    </row>
    <row r="874">
      <c r="A874" s="3" t="inlineStr">
        <is>
          <t>夏尚明</t>
        </is>
      </c>
      <c r="B874" s="3" t="inlineStr">
        <is>
          <t>8/5</t>
        </is>
      </c>
      <c r="C874" s="3" t="inlineStr">
        <is>
          <t>三</t>
        </is>
      </c>
      <c r="D874" s="3" t="inlineStr">
        <is>
          <t>09:30 19:37</t>
        </is>
      </c>
      <c r="E874" s="4" t="n">
        <v>0.3958333333333333</v>
      </c>
      <c r="F874" s="4" t="n">
        <v>0.8173611111111111</v>
      </c>
      <c r="G874" s="3">
        <f>IF($E874="","空卡",IF($F874="","单卡","正常"))</f>
        <v/>
      </c>
      <c r="H874" s="5">
        <f>IF($G874="正常",ROUND(($F874-$E874)*1440,0),"")</f>
        <v/>
      </c>
      <c r="I874" s="6">
        <f>IF($G874="正常",$H874/60,"")</f>
        <v/>
      </c>
      <c r="J874" s="7">
        <f>IF($G874="正常",ROUND($H874/30,0)/2,"")</f>
        <v/>
      </c>
      <c r="K874" s="7">
        <f>IF($G874="正常",MIN($J874,12),"")</f>
        <v/>
      </c>
      <c r="L874" s="7">
        <f>IF($G874="正常",MAX($J874-12,0),"")</f>
        <v/>
      </c>
    </row>
    <row r="875">
      <c r="A875" s="3" t="inlineStr">
        <is>
          <t>夏尚明</t>
        </is>
      </c>
      <c r="B875" s="3" t="inlineStr">
        <is>
          <t>8/6</t>
        </is>
      </c>
      <c r="C875" s="3" t="inlineStr">
        <is>
          <t>四</t>
        </is>
      </c>
      <c r="D875" s="3" t="inlineStr">
        <is>
          <t>08:39 19:00</t>
        </is>
      </c>
      <c r="E875" s="4" t="n">
        <v>0.3604166666666667</v>
      </c>
      <c r="F875" s="4" t="n">
        <v>0.7916666666666666</v>
      </c>
      <c r="G875" s="3">
        <f>IF($E875="","空卡",IF($F875="","单卡","正常"))</f>
        <v/>
      </c>
      <c r="H875" s="5">
        <f>IF($G875="正常",ROUND(($F875-$E875)*1440,0),"")</f>
        <v/>
      </c>
      <c r="I875" s="6">
        <f>IF($G875="正常",$H875/60,"")</f>
        <v/>
      </c>
      <c r="J875" s="7">
        <f>IF($G875="正常",ROUND($H875/30,0)/2,"")</f>
        <v/>
      </c>
      <c r="K875" s="7">
        <f>IF($G875="正常",MIN($J875,12),"")</f>
        <v/>
      </c>
      <c r="L875" s="7">
        <f>IF($G875="正常",MAX($J875-12,0),"")</f>
        <v/>
      </c>
    </row>
    <row r="876">
      <c r="A876" s="3" t="inlineStr">
        <is>
          <t>夏尚明</t>
        </is>
      </c>
      <c r="B876" s="3" t="inlineStr">
        <is>
          <t>8/7</t>
        </is>
      </c>
      <c r="C876" s="3" t="inlineStr">
        <is>
          <t>五</t>
        </is>
      </c>
      <c r="D876" s="3" t="inlineStr">
        <is>
          <t>07:53 19:31</t>
        </is>
      </c>
      <c r="E876" s="4" t="n">
        <v>0.3284722222222222</v>
      </c>
      <c r="F876" s="4" t="n">
        <v>0.8131944444444444</v>
      </c>
      <c r="G876" s="3">
        <f>IF($E876="","空卡",IF($F876="","单卡","正常"))</f>
        <v/>
      </c>
      <c r="H876" s="5">
        <f>IF($G876="正常",ROUND(($F876-$E876)*1440,0),"")</f>
        <v/>
      </c>
      <c r="I876" s="6">
        <f>IF($G876="正常",$H876/60,"")</f>
        <v/>
      </c>
      <c r="J876" s="7">
        <f>IF($G876="正常",ROUND($H876/30,0)/2,"")</f>
        <v/>
      </c>
      <c r="K876" s="7">
        <f>IF($G876="正常",MIN($J876,12),"")</f>
        <v/>
      </c>
      <c r="L876" s="7">
        <f>IF($G876="正常",MAX($J876-12,0),"")</f>
        <v/>
      </c>
    </row>
    <row r="877">
      <c r="A877" s="3" t="inlineStr">
        <is>
          <t>夏尚明</t>
        </is>
      </c>
      <c r="B877" s="3" t="inlineStr">
        <is>
          <t>8/8</t>
        </is>
      </c>
      <c r="C877" s="3" t="inlineStr">
        <is>
          <t>六</t>
        </is>
      </c>
      <c r="D877" s="3" t="inlineStr">
        <is>
          <t>08:14 19:38</t>
        </is>
      </c>
      <c r="E877" s="4" t="n">
        <v>0.3430555555555556</v>
      </c>
      <c r="F877" s="4" t="n">
        <v>0.8180555555555555</v>
      </c>
      <c r="G877" s="3">
        <f>IF($E877="","空卡",IF($F877="","单卡","正常"))</f>
        <v/>
      </c>
      <c r="H877" s="5">
        <f>IF($G877="正常",ROUND(($F877-$E877)*1440,0),"")</f>
        <v/>
      </c>
      <c r="I877" s="6">
        <f>IF($G877="正常",$H877/60,"")</f>
        <v/>
      </c>
      <c r="J877" s="7">
        <f>IF($G877="正常",ROUND($H877/30,0)/2,"")</f>
        <v/>
      </c>
      <c r="K877" s="7">
        <f>IF($G877="正常",MIN($J877,12),"")</f>
        <v/>
      </c>
      <c r="L877" s="7">
        <f>IF($G877="正常",MAX($J877-12,0),"")</f>
        <v/>
      </c>
    </row>
    <row r="878">
      <c r="A878" s="3" t="inlineStr">
        <is>
          <t>夏尚明</t>
        </is>
      </c>
      <c r="B878" s="3" t="inlineStr">
        <is>
          <t>8/9</t>
        </is>
      </c>
      <c r="C878" s="3" t="inlineStr">
        <is>
          <t>日</t>
        </is>
      </c>
      <c r="D878" s="3" t="inlineStr">
        <is>
          <t>07:37 19:31</t>
        </is>
      </c>
      <c r="E878" s="4" t="n">
        <v>0.3173611111111111</v>
      </c>
      <c r="F878" s="4" t="n">
        <v>0.8131944444444444</v>
      </c>
      <c r="G878" s="3">
        <f>IF($E878="","空卡",IF($F878="","单卡","正常"))</f>
        <v/>
      </c>
      <c r="H878" s="5">
        <f>IF($G878="正常",ROUND(($F878-$E878)*1440,0),"")</f>
        <v/>
      </c>
      <c r="I878" s="6">
        <f>IF($G878="正常",$H878/60,"")</f>
        <v/>
      </c>
      <c r="J878" s="7">
        <f>IF($G878="正常",ROUND($H878/30,0)/2,"")</f>
        <v/>
      </c>
      <c r="K878" s="7">
        <f>IF($G878="正常",MIN($J878,12),"")</f>
        <v/>
      </c>
      <c r="L878" s="7">
        <f>IF($G878="正常",MAX($J878-12,0),"")</f>
        <v/>
      </c>
    </row>
    <row r="879">
      <c r="A879" s="3" t="inlineStr">
        <is>
          <t>夏尚明</t>
        </is>
      </c>
      <c r="B879" s="3" t="inlineStr">
        <is>
          <t>8/10</t>
        </is>
      </c>
      <c r="C879" s="3" t="inlineStr">
        <is>
          <t>一</t>
        </is>
      </c>
      <c r="D879" s="3" t="inlineStr">
        <is>
          <t>08:14 08:17 19:54</t>
        </is>
      </c>
      <c r="E879" s="4" t="n">
        <v>0.3430555555555556</v>
      </c>
      <c r="F879" s="4" t="n">
        <v>0.8291666666666667</v>
      </c>
      <c r="G879" s="3">
        <f>IF($E879="","空卡",IF($F879="","单卡","正常"))</f>
        <v/>
      </c>
      <c r="H879" s="5">
        <f>IF($G879="正常",ROUND(($F879-$E879)*1440,0),"")</f>
        <v/>
      </c>
      <c r="I879" s="6">
        <f>IF($G879="正常",$H879/60,"")</f>
        <v/>
      </c>
      <c r="J879" s="7">
        <f>IF($G879="正常",ROUND($H879/30,0)/2,"")</f>
        <v/>
      </c>
      <c r="K879" s="7">
        <f>IF($G879="正常",MIN($J879,12),"")</f>
        <v/>
      </c>
      <c r="L879" s="7">
        <f>IF($G879="正常",MAX($J879-12,0),"")</f>
        <v/>
      </c>
    </row>
    <row r="880">
      <c r="A880" s="3" t="inlineStr">
        <is>
          <t>夏尚明</t>
        </is>
      </c>
      <c r="B880" s="3" t="inlineStr">
        <is>
          <t>8/11</t>
        </is>
      </c>
      <c r="C880" s="3" t="inlineStr">
        <is>
          <t>二</t>
        </is>
      </c>
      <c r="D880" s="3" t="inlineStr">
        <is>
          <t>08:22 18:30</t>
        </is>
      </c>
      <c r="E880" s="4" t="n">
        <v>0.3486111111111111</v>
      </c>
      <c r="F880" s="4" t="n">
        <v>0.7708333333333334</v>
      </c>
      <c r="G880" s="3">
        <f>IF($E880="","空卡",IF($F880="","单卡","正常"))</f>
        <v/>
      </c>
      <c r="H880" s="5">
        <f>IF($G880="正常",ROUND(($F880-$E880)*1440,0),"")</f>
        <v/>
      </c>
      <c r="I880" s="6">
        <f>IF($G880="正常",$H880/60,"")</f>
        <v/>
      </c>
      <c r="J880" s="7">
        <f>IF($G880="正常",ROUND($H880/30,0)/2,"")</f>
        <v/>
      </c>
      <c r="K880" s="7">
        <f>IF($G880="正常",MIN($J880,12),"")</f>
        <v/>
      </c>
      <c r="L880" s="7">
        <f>IF($G880="正常",MAX($J880-12,0),"")</f>
        <v/>
      </c>
    </row>
    <row r="881">
      <c r="A881" s="3" t="inlineStr">
        <is>
          <t>夏尚明</t>
        </is>
      </c>
      <c r="B881" s="3" t="inlineStr">
        <is>
          <t>8/12</t>
        </is>
      </c>
      <c r="C881" s="3" t="inlineStr">
        <is>
          <t>三</t>
        </is>
      </c>
      <c r="D881" s="3" t="inlineStr">
        <is>
          <t>09:53 18:36</t>
        </is>
      </c>
      <c r="E881" s="4" t="n">
        <v>0.4118055555555555</v>
      </c>
      <c r="F881" s="4" t="n">
        <v>0.775</v>
      </c>
      <c r="G881" s="3">
        <f>IF($E881="","空卡",IF($F881="","单卡","正常"))</f>
        <v/>
      </c>
      <c r="H881" s="5">
        <f>IF($G881="正常",ROUND(($F881-$E881)*1440,0),"")</f>
        <v/>
      </c>
      <c r="I881" s="6">
        <f>IF($G881="正常",$H881/60,"")</f>
        <v/>
      </c>
      <c r="J881" s="7">
        <f>IF($G881="正常",ROUND($H881/30,0)/2,"")</f>
        <v/>
      </c>
      <c r="K881" s="7">
        <f>IF($G881="正常",MIN($J881,12),"")</f>
        <v/>
      </c>
      <c r="L881" s="7">
        <f>IF($G881="正常",MAX($J881-12,0),"")</f>
        <v/>
      </c>
    </row>
    <row r="882">
      <c r="A882" s="3" t="inlineStr">
        <is>
          <t>夏尚明</t>
        </is>
      </c>
      <c r="B882" s="3" t="inlineStr">
        <is>
          <t>8/13</t>
        </is>
      </c>
      <c r="C882" s="3" t="inlineStr">
        <is>
          <t>四</t>
        </is>
      </c>
      <c r="D882" s="3" t="inlineStr">
        <is>
          <t>09:51 18:11</t>
        </is>
      </c>
      <c r="E882" s="4" t="n">
        <v>0.4104166666666667</v>
      </c>
      <c r="F882" s="4" t="n">
        <v>0.7576388888888889</v>
      </c>
      <c r="G882" s="3">
        <f>IF($E882="","空卡",IF($F882="","单卡","正常"))</f>
        <v/>
      </c>
      <c r="H882" s="5">
        <f>IF($G882="正常",ROUND(($F882-$E882)*1440,0),"")</f>
        <v/>
      </c>
      <c r="I882" s="6">
        <f>IF($G882="正常",$H882/60,"")</f>
        <v/>
      </c>
      <c r="J882" s="7">
        <f>IF($G882="正常",ROUND($H882/30,0)/2,"")</f>
        <v/>
      </c>
      <c r="K882" s="7">
        <f>IF($G882="正常",MIN($J882,12),"")</f>
        <v/>
      </c>
      <c r="L882" s="7">
        <f>IF($G882="正常",MAX($J882-12,0),"")</f>
        <v/>
      </c>
    </row>
    <row r="883">
      <c r="A883" s="8" t="inlineStr">
        <is>
          <t>夏尚明</t>
        </is>
      </c>
      <c r="B883" s="8" t="inlineStr">
        <is>
          <t>8/14</t>
        </is>
      </c>
      <c r="C883" s="8" t="inlineStr">
        <is>
          <t>五</t>
        </is>
      </c>
      <c r="D883" s="8" t="inlineStr"/>
      <c r="E883" s="9" t="n"/>
      <c r="F883" s="9" t="n"/>
      <c r="G883" s="10">
        <f>IF($E883="","空卡",IF($F883="","单卡","正常"))</f>
        <v/>
      </c>
      <c r="H883" s="11">
        <f>IF($G883="正常",ROUND(($F883-$E883)*1440,0),"")</f>
        <v/>
      </c>
      <c r="I883" s="12">
        <f>IF($G883="正常",$H883/60,"")</f>
        <v/>
      </c>
      <c r="J883" s="13">
        <f>IF($G883="正常",ROUND($H883/30,0)/2,"")</f>
        <v/>
      </c>
      <c r="K883" s="13">
        <f>IF($G883="正常",MIN($J883,12),"")</f>
        <v/>
      </c>
      <c r="L883" s="13">
        <f>IF($G883="正常",MAX($J883-12,0),"")</f>
        <v/>
      </c>
    </row>
    <row r="884">
      <c r="A884" s="8" t="inlineStr">
        <is>
          <t>夏尚明</t>
        </is>
      </c>
      <c r="B884" s="8" t="inlineStr">
        <is>
          <t>8/15</t>
        </is>
      </c>
      <c r="C884" s="8" t="inlineStr">
        <is>
          <t>六</t>
        </is>
      </c>
      <c r="D884" s="8" t="inlineStr">
        <is>
          <t>06:55</t>
        </is>
      </c>
      <c r="E884" s="9" t="n">
        <v>0.2881944444444444</v>
      </c>
      <c r="F884" s="9" t="n"/>
      <c r="G884" s="10">
        <f>IF($E884="","空卡",IF($F884="","单卡","正常"))</f>
        <v/>
      </c>
      <c r="H884" s="11">
        <f>IF($G884="正常",ROUND(($F884-$E884)*1440,0),"")</f>
        <v/>
      </c>
      <c r="I884" s="12">
        <f>IF($G884="正常",$H884/60,"")</f>
        <v/>
      </c>
      <c r="J884" s="13">
        <f>IF($G884="正常",ROUND($H884/30,0)/2,"")</f>
        <v/>
      </c>
      <c r="K884" s="13">
        <f>IF($G884="正常",MIN($J884,12),"")</f>
        <v/>
      </c>
      <c r="L884" s="13">
        <f>IF($G884="正常",MAX($J884-12,0),"")</f>
        <v/>
      </c>
    </row>
    <row r="885">
      <c r="A885" s="8" t="inlineStr">
        <is>
          <t>夏尚明</t>
        </is>
      </c>
      <c r="B885" s="8" t="inlineStr">
        <is>
          <t>8/16</t>
        </is>
      </c>
      <c r="C885" s="8" t="inlineStr">
        <is>
          <t>日</t>
        </is>
      </c>
      <c r="D885" s="8" t="inlineStr"/>
      <c r="E885" s="9" t="n"/>
      <c r="F885" s="9" t="n"/>
      <c r="G885" s="10">
        <f>IF($E885="","空卡",IF($F885="","单卡","正常"))</f>
        <v/>
      </c>
      <c r="H885" s="11">
        <f>IF($G885="正常",ROUND(($F885-$E885)*1440,0),"")</f>
        <v/>
      </c>
      <c r="I885" s="12">
        <f>IF($G885="正常",$H885/60,"")</f>
        <v/>
      </c>
      <c r="J885" s="13">
        <f>IF($G885="正常",ROUND($H885/30,0)/2,"")</f>
        <v/>
      </c>
      <c r="K885" s="13">
        <f>IF($G885="正常",MIN($J885,12),"")</f>
        <v/>
      </c>
      <c r="L885" s="13">
        <f>IF($G885="正常",MAX($J885-12,0),"")</f>
        <v/>
      </c>
    </row>
    <row r="886">
      <c r="A886" s="8" t="inlineStr">
        <is>
          <t>夏尚明</t>
        </is>
      </c>
      <c r="B886" s="8" t="inlineStr">
        <is>
          <t>8/17</t>
        </is>
      </c>
      <c r="C886" s="8" t="inlineStr">
        <is>
          <t>一</t>
        </is>
      </c>
      <c r="D886" s="8" t="inlineStr"/>
      <c r="E886" s="9" t="n"/>
      <c r="F886" s="9" t="n"/>
      <c r="G886" s="10">
        <f>IF($E886="","空卡",IF($F886="","单卡","正常"))</f>
        <v/>
      </c>
      <c r="H886" s="11">
        <f>IF($G886="正常",ROUND(($F886-$E886)*1440,0),"")</f>
        <v/>
      </c>
      <c r="I886" s="12">
        <f>IF($G886="正常",$H886/60,"")</f>
        <v/>
      </c>
      <c r="J886" s="13">
        <f>IF($G886="正常",ROUND($H886/30,0)/2,"")</f>
        <v/>
      </c>
      <c r="K886" s="13">
        <f>IF($G886="正常",MIN($J886,12),"")</f>
        <v/>
      </c>
      <c r="L886" s="13">
        <f>IF($G886="正常",MAX($J886-12,0),"")</f>
        <v/>
      </c>
    </row>
    <row r="887">
      <c r="A887" s="8" t="inlineStr">
        <is>
          <t>夏尚明</t>
        </is>
      </c>
      <c r="B887" s="8" t="inlineStr">
        <is>
          <t>8/18</t>
        </is>
      </c>
      <c r="C887" s="8" t="inlineStr">
        <is>
          <t>二</t>
        </is>
      </c>
      <c r="D887" s="8" t="inlineStr"/>
      <c r="E887" s="9" t="n"/>
      <c r="F887" s="9" t="n"/>
      <c r="G887" s="10">
        <f>IF($E887="","空卡",IF($F887="","单卡","正常"))</f>
        <v/>
      </c>
      <c r="H887" s="11">
        <f>IF($G887="正常",ROUND(($F887-$E887)*1440,0),"")</f>
        <v/>
      </c>
      <c r="I887" s="12">
        <f>IF($G887="正常",$H887/60,"")</f>
        <v/>
      </c>
      <c r="J887" s="13">
        <f>IF($G887="正常",ROUND($H887/30,0)/2,"")</f>
        <v/>
      </c>
      <c r="K887" s="13">
        <f>IF($G887="正常",MIN($J887,12),"")</f>
        <v/>
      </c>
      <c r="L887" s="13">
        <f>IF($G887="正常",MAX($J887-12,0),"")</f>
        <v/>
      </c>
    </row>
    <row r="888">
      <c r="A888" s="8" t="inlineStr">
        <is>
          <t>夏尚明</t>
        </is>
      </c>
      <c r="B888" s="8" t="inlineStr">
        <is>
          <t>8/19</t>
        </is>
      </c>
      <c r="C888" s="8" t="inlineStr">
        <is>
          <t>三</t>
        </is>
      </c>
      <c r="D888" s="8" t="inlineStr"/>
      <c r="E888" s="9" t="n"/>
      <c r="F888" s="9" t="n"/>
      <c r="G888" s="10">
        <f>IF($E888="","空卡",IF($F888="","单卡","正常"))</f>
        <v/>
      </c>
      <c r="H888" s="11">
        <f>IF($G888="正常",ROUND(($F888-$E888)*1440,0),"")</f>
        <v/>
      </c>
      <c r="I888" s="12">
        <f>IF($G888="正常",$H888/60,"")</f>
        <v/>
      </c>
      <c r="J888" s="13">
        <f>IF($G888="正常",ROUND($H888/30,0)/2,"")</f>
        <v/>
      </c>
      <c r="K888" s="13">
        <f>IF($G888="正常",MIN($J888,12),"")</f>
        <v/>
      </c>
      <c r="L888" s="13">
        <f>IF($G888="正常",MAX($J888-12,0),"")</f>
        <v/>
      </c>
    </row>
    <row r="889">
      <c r="A889" s="8" t="inlineStr">
        <is>
          <t>夏尚明</t>
        </is>
      </c>
      <c r="B889" s="8" t="inlineStr">
        <is>
          <t>8/20</t>
        </is>
      </c>
      <c r="C889" s="8" t="inlineStr">
        <is>
          <t>四</t>
        </is>
      </c>
      <c r="D889" s="8" t="inlineStr"/>
      <c r="E889" s="9" t="n"/>
      <c r="F889" s="9" t="n"/>
      <c r="G889" s="10">
        <f>IF($E889="","空卡",IF($F889="","单卡","正常"))</f>
        <v/>
      </c>
      <c r="H889" s="11">
        <f>IF($G889="正常",ROUND(($F889-$E889)*1440,0),"")</f>
        <v/>
      </c>
      <c r="I889" s="12">
        <f>IF($G889="正常",$H889/60,"")</f>
        <v/>
      </c>
      <c r="J889" s="13">
        <f>IF($G889="正常",ROUND($H889/30,0)/2,"")</f>
        <v/>
      </c>
      <c r="K889" s="13">
        <f>IF($G889="正常",MIN($J889,12),"")</f>
        <v/>
      </c>
      <c r="L889" s="13">
        <f>IF($G889="正常",MAX($J889-12,0),"")</f>
        <v/>
      </c>
    </row>
    <row r="890">
      <c r="A890" s="8" t="inlineStr">
        <is>
          <t>夏尚明</t>
        </is>
      </c>
      <c r="B890" s="8" t="inlineStr">
        <is>
          <t>8/21</t>
        </is>
      </c>
      <c r="C890" s="8" t="inlineStr">
        <is>
          <t>五</t>
        </is>
      </c>
      <c r="D890" s="8" t="inlineStr"/>
      <c r="E890" s="9" t="n"/>
      <c r="F890" s="9" t="n"/>
      <c r="G890" s="10">
        <f>IF($E890="","空卡",IF($F890="","单卡","正常"))</f>
        <v/>
      </c>
      <c r="H890" s="11">
        <f>IF($G890="正常",ROUND(($F890-$E890)*1440,0),"")</f>
        <v/>
      </c>
      <c r="I890" s="12">
        <f>IF($G890="正常",$H890/60,"")</f>
        <v/>
      </c>
      <c r="J890" s="13">
        <f>IF($G890="正常",ROUND($H890/30,0)/2,"")</f>
        <v/>
      </c>
      <c r="K890" s="13">
        <f>IF($G890="正常",MIN($J890,12),"")</f>
        <v/>
      </c>
      <c r="L890" s="13">
        <f>IF($G890="正常",MAX($J890-12,0),"")</f>
        <v/>
      </c>
    </row>
    <row r="891">
      <c r="A891" s="8" t="inlineStr">
        <is>
          <t>夏尚明</t>
        </is>
      </c>
      <c r="B891" s="8" t="inlineStr">
        <is>
          <t>8/22</t>
        </is>
      </c>
      <c r="C891" s="8" t="inlineStr">
        <is>
          <t>六</t>
        </is>
      </c>
      <c r="D891" s="8" t="inlineStr"/>
      <c r="E891" s="9" t="n"/>
      <c r="F891" s="9" t="n"/>
      <c r="G891" s="10">
        <f>IF($E891="","空卡",IF($F891="","单卡","正常"))</f>
        <v/>
      </c>
      <c r="H891" s="11">
        <f>IF($G891="正常",ROUND(($F891-$E891)*1440,0),"")</f>
        <v/>
      </c>
      <c r="I891" s="12">
        <f>IF($G891="正常",$H891/60,"")</f>
        <v/>
      </c>
      <c r="J891" s="13">
        <f>IF($G891="正常",ROUND($H891/30,0)/2,"")</f>
        <v/>
      </c>
      <c r="K891" s="13">
        <f>IF($G891="正常",MIN($J891,12),"")</f>
        <v/>
      </c>
      <c r="L891" s="13">
        <f>IF($G891="正常",MAX($J891-12,0),"")</f>
        <v/>
      </c>
    </row>
    <row r="892">
      <c r="A892" s="8" t="inlineStr">
        <is>
          <t>夏尚明</t>
        </is>
      </c>
      <c r="B892" s="8" t="inlineStr">
        <is>
          <t>8/23</t>
        </is>
      </c>
      <c r="C892" s="8" t="inlineStr">
        <is>
          <t>日</t>
        </is>
      </c>
      <c r="D892" s="8" t="inlineStr"/>
      <c r="E892" s="9" t="n"/>
      <c r="F892" s="9" t="n"/>
      <c r="G892" s="10">
        <f>IF($E892="","空卡",IF($F892="","单卡","正常"))</f>
        <v/>
      </c>
      <c r="H892" s="11">
        <f>IF($G892="正常",ROUND(($F892-$E892)*1440,0),"")</f>
        <v/>
      </c>
      <c r="I892" s="12">
        <f>IF($G892="正常",$H892/60,"")</f>
        <v/>
      </c>
      <c r="J892" s="13">
        <f>IF($G892="正常",ROUND($H892/30,0)/2,"")</f>
        <v/>
      </c>
      <c r="K892" s="13">
        <f>IF($G892="正常",MIN($J892,12),"")</f>
        <v/>
      </c>
      <c r="L892" s="13">
        <f>IF($G892="正常",MAX($J892-12,0),"")</f>
        <v/>
      </c>
    </row>
    <row r="893">
      <c r="A893" s="8" t="inlineStr">
        <is>
          <t>夏尚明</t>
        </is>
      </c>
      <c r="B893" s="8" t="inlineStr">
        <is>
          <t>8/24</t>
        </is>
      </c>
      <c r="C893" s="8" t="inlineStr">
        <is>
          <t>一</t>
        </is>
      </c>
      <c r="D893" s="8" t="inlineStr"/>
      <c r="E893" s="9" t="n"/>
      <c r="F893" s="9" t="n"/>
      <c r="G893" s="10">
        <f>IF($E893="","空卡",IF($F893="","单卡","正常"))</f>
        <v/>
      </c>
      <c r="H893" s="11">
        <f>IF($G893="正常",ROUND(($F893-$E893)*1440,0),"")</f>
        <v/>
      </c>
      <c r="I893" s="12">
        <f>IF($G893="正常",$H893/60,"")</f>
        <v/>
      </c>
      <c r="J893" s="13">
        <f>IF($G893="正常",ROUND($H893/30,0)/2,"")</f>
        <v/>
      </c>
      <c r="K893" s="13">
        <f>IF($G893="正常",MIN($J893,12),"")</f>
        <v/>
      </c>
      <c r="L893" s="13">
        <f>IF($G893="正常",MAX($J893-12,0),"")</f>
        <v/>
      </c>
    </row>
    <row r="894">
      <c r="A894" s="8" t="inlineStr">
        <is>
          <t>夏尚明</t>
        </is>
      </c>
      <c r="B894" s="8" t="inlineStr">
        <is>
          <t>8/25</t>
        </is>
      </c>
      <c r="C894" s="8" t="inlineStr">
        <is>
          <t>二</t>
        </is>
      </c>
      <c r="D894" s="8" t="inlineStr"/>
      <c r="E894" s="9" t="n"/>
      <c r="F894" s="9" t="n"/>
      <c r="G894" s="10">
        <f>IF($E894="","空卡",IF($F894="","单卡","正常"))</f>
        <v/>
      </c>
      <c r="H894" s="11">
        <f>IF($G894="正常",ROUND(($F894-$E894)*1440,0),"")</f>
        <v/>
      </c>
      <c r="I894" s="12">
        <f>IF($G894="正常",$H894/60,"")</f>
        <v/>
      </c>
      <c r="J894" s="13">
        <f>IF($G894="正常",ROUND($H894/30,0)/2,"")</f>
        <v/>
      </c>
      <c r="K894" s="13">
        <f>IF($G894="正常",MIN($J894,12),"")</f>
        <v/>
      </c>
      <c r="L894" s="13">
        <f>IF($G894="正常",MAX($J894-12,0),"")</f>
        <v/>
      </c>
    </row>
    <row r="895">
      <c r="A895" s="8" t="inlineStr">
        <is>
          <t>夏尚明</t>
        </is>
      </c>
      <c r="B895" s="8" t="inlineStr">
        <is>
          <t>8/26</t>
        </is>
      </c>
      <c r="C895" s="8" t="inlineStr">
        <is>
          <t>三</t>
        </is>
      </c>
      <c r="D895" s="8" t="inlineStr"/>
      <c r="E895" s="9" t="n"/>
      <c r="F895" s="9" t="n"/>
      <c r="G895" s="10">
        <f>IF($E895="","空卡",IF($F895="","单卡","正常"))</f>
        <v/>
      </c>
      <c r="H895" s="11">
        <f>IF($G895="正常",ROUND(($F895-$E895)*1440,0),"")</f>
        <v/>
      </c>
      <c r="I895" s="12">
        <f>IF($G895="正常",$H895/60,"")</f>
        <v/>
      </c>
      <c r="J895" s="13">
        <f>IF($G895="正常",ROUND($H895/30,0)/2,"")</f>
        <v/>
      </c>
      <c r="K895" s="13">
        <f>IF($G895="正常",MIN($J895,12),"")</f>
        <v/>
      </c>
      <c r="L895" s="13">
        <f>IF($G895="正常",MAX($J895-12,0),"")</f>
        <v/>
      </c>
    </row>
    <row r="896">
      <c r="A896" s="8" t="inlineStr">
        <is>
          <t>夏尚明</t>
        </is>
      </c>
      <c r="B896" s="8" t="inlineStr">
        <is>
          <t>8/27</t>
        </is>
      </c>
      <c r="C896" s="8" t="inlineStr">
        <is>
          <t>四</t>
        </is>
      </c>
      <c r="D896" s="8" t="inlineStr"/>
      <c r="E896" s="9" t="n"/>
      <c r="F896" s="9" t="n"/>
      <c r="G896" s="10">
        <f>IF($E896="","空卡",IF($F896="","单卡","正常"))</f>
        <v/>
      </c>
      <c r="H896" s="11">
        <f>IF($G896="正常",ROUND(($F896-$E896)*1440,0),"")</f>
        <v/>
      </c>
      <c r="I896" s="12">
        <f>IF($G896="正常",$H896/60,"")</f>
        <v/>
      </c>
      <c r="J896" s="13">
        <f>IF($G896="正常",ROUND($H896/30,0)/2,"")</f>
        <v/>
      </c>
      <c r="K896" s="13">
        <f>IF($G896="正常",MIN($J896,12),"")</f>
        <v/>
      </c>
      <c r="L896" s="13">
        <f>IF($G896="正常",MAX($J896-12,0),"")</f>
        <v/>
      </c>
    </row>
    <row r="897">
      <c r="A897" s="8" t="inlineStr">
        <is>
          <t>夏尚明</t>
        </is>
      </c>
      <c r="B897" s="8" t="inlineStr">
        <is>
          <t>8/28</t>
        </is>
      </c>
      <c r="C897" s="8" t="inlineStr">
        <is>
          <t>五</t>
        </is>
      </c>
      <c r="D897" s="8" t="inlineStr"/>
      <c r="E897" s="9" t="n"/>
      <c r="F897" s="9" t="n"/>
      <c r="G897" s="10">
        <f>IF($E897="","空卡",IF($F897="","单卡","正常"))</f>
        <v/>
      </c>
      <c r="H897" s="11">
        <f>IF($G897="正常",ROUND(($F897-$E897)*1440,0),"")</f>
        <v/>
      </c>
      <c r="I897" s="12">
        <f>IF($G897="正常",$H897/60,"")</f>
        <v/>
      </c>
      <c r="J897" s="13">
        <f>IF($G897="正常",ROUND($H897/30,0)/2,"")</f>
        <v/>
      </c>
      <c r="K897" s="13">
        <f>IF($G897="正常",MIN($J897,12),"")</f>
        <v/>
      </c>
      <c r="L897" s="13">
        <f>IF($G897="正常",MAX($J897-12,0),"")</f>
        <v/>
      </c>
    </row>
    <row r="898">
      <c r="A898" s="8" t="inlineStr">
        <is>
          <t>夏尚明</t>
        </is>
      </c>
      <c r="B898" s="8" t="inlineStr">
        <is>
          <t>8/29</t>
        </is>
      </c>
      <c r="C898" s="8" t="inlineStr">
        <is>
          <t>六</t>
        </is>
      </c>
      <c r="D898" s="8" t="inlineStr"/>
      <c r="E898" s="9" t="n"/>
      <c r="F898" s="9" t="n"/>
      <c r="G898" s="10">
        <f>IF($E898="","空卡",IF($F898="","单卡","正常"))</f>
        <v/>
      </c>
      <c r="H898" s="11">
        <f>IF($G898="正常",ROUND(($F898-$E898)*1440,0),"")</f>
        <v/>
      </c>
      <c r="I898" s="12">
        <f>IF($G898="正常",$H898/60,"")</f>
        <v/>
      </c>
      <c r="J898" s="13">
        <f>IF($G898="正常",ROUND($H898/30,0)/2,"")</f>
        <v/>
      </c>
      <c r="K898" s="13">
        <f>IF($G898="正常",MIN($J898,12),"")</f>
        <v/>
      </c>
      <c r="L898" s="13">
        <f>IF($G898="正常",MAX($J898-12,0),"")</f>
        <v/>
      </c>
    </row>
    <row r="899">
      <c r="A899" s="8" t="inlineStr">
        <is>
          <t>夏尚明</t>
        </is>
      </c>
      <c r="B899" s="8" t="inlineStr">
        <is>
          <t>8/30</t>
        </is>
      </c>
      <c r="C899" s="8" t="inlineStr">
        <is>
          <t>日</t>
        </is>
      </c>
      <c r="D899" s="8" t="inlineStr"/>
      <c r="E899" s="9" t="n"/>
      <c r="F899" s="9" t="n"/>
      <c r="G899" s="10">
        <f>IF($E899="","空卡",IF($F899="","单卡","正常"))</f>
        <v/>
      </c>
      <c r="H899" s="11">
        <f>IF($G899="正常",ROUND(($F899-$E899)*1440,0),"")</f>
        <v/>
      </c>
      <c r="I899" s="12">
        <f>IF($G899="正常",$H899/60,"")</f>
        <v/>
      </c>
      <c r="J899" s="13">
        <f>IF($G899="正常",ROUND($H899/30,0)/2,"")</f>
        <v/>
      </c>
      <c r="K899" s="13">
        <f>IF($G899="正常",MIN($J899,12),"")</f>
        <v/>
      </c>
      <c r="L899" s="13">
        <f>IF($G899="正常",MAX($J899-12,0),"")</f>
        <v/>
      </c>
    </row>
    <row r="900">
      <c r="A900" s="8" t="inlineStr">
        <is>
          <t>夏尚明</t>
        </is>
      </c>
      <c r="B900" s="8" t="inlineStr">
        <is>
          <t>8/31</t>
        </is>
      </c>
      <c r="C900" s="8" t="inlineStr">
        <is>
          <t>一</t>
        </is>
      </c>
      <c r="D900" s="8" t="inlineStr"/>
      <c r="E900" s="9" t="n"/>
      <c r="F900" s="9" t="n"/>
      <c r="G900" s="10">
        <f>IF($E900="","空卡",IF($F900="","单卡","正常"))</f>
        <v/>
      </c>
      <c r="H900" s="11">
        <f>IF($G900="正常",ROUND(($F900-$E900)*1440,0),"")</f>
        <v/>
      </c>
      <c r="I900" s="12">
        <f>IF($G900="正常",$H900/60,"")</f>
        <v/>
      </c>
      <c r="J900" s="13">
        <f>IF($G900="正常",ROUND($H900/30,0)/2,"")</f>
        <v/>
      </c>
      <c r="K900" s="13">
        <f>IF($G900="正常",MIN($J900,12),"")</f>
        <v/>
      </c>
      <c r="L900" s="13">
        <f>IF($G900="正常",MAX($J900-12,0),"")</f>
        <v/>
      </c>
    </row>
    <row r="901">
      <c r="A901" s="3" t="inlineStr">
        <is>
          <t>曾德秀</t>
        </is>
      </c>
      <c r="B901" s="3" t="inlineStr">
        <is>
          <t>8/1</t>
        </is>
      </c>
      <c r="C901" s="3" t="inlineStr">
        <is>
          <t>六</t>
        </is>
      </c>
      <c r="D901" s="3" t="inlineStr">
        <is>
          <t>07:58 17:03</t>
        </is>
      </c>
      <c r="E901" s="4" t="n">
        <v>0.3319444444444444</v>
      </c>
      <c r="F901" s="4" t="n">
        <v>0.7104166666666667</v>
      </c>
      <c r="G901" s="3">
        <f>IF($E901="","空卡",IF($F901="","单卡","正常"))</f>
        <v/>
      </c>
      <c r="H901" s="5">
        <f>IF($G901="正常",ROUND(($F901-$E901)*1440,0),"")</f>
        <v/>
      </c>
      <c r="I901" s="6">
        <f>IF($G901="正常",$H901/60,"")</f>
        <v/>
      </c>
      <c r="J901" s="7">
        <f>IF($G901="正常",ROUND($H901/30,0)/2,"")</f>
        <v/>
      </c>
      <c r="K901" s="7">
        <f>IF($G901="正常",MIN($J901,12),"")</f>
        <v/>
      </c>
      <c r="L901" s="7">
        <f>IF($G901="正常",MAX($J901-12,0),"")</f>
        <v/>
      </c>
    </row>
    <row r="902">
      <c r="A902" s="3" t="inlineStr">
        <is>
          <t>曾德秀</t>
        </is>
      </c>
      <c r="B902" s="3" t="inlineStr">
        <is>
          <t>8/2</t>
        </is>
      </c>
      <c r="C902" s="3" t="inlineStr">
        <is>
          <t>日</t>
        </is>
      </c>
      <c r="D902" s="3" t="inlineStr">
        <is>
          <t>07:57 15:03</t>
        </is>
      </c>
      <c r="E902" s="4" t="n">
        <v>0.33125</v>
      </c>
      <c r="F902" s="4" t="n">
        <v>0.6270833333333333</v>
      </c>
      <c r="G902" s="3">
        <f>IF($E902="","空卡",IF($F902="","单卡","正常"))</f>
        <v/>
      </c>
      <c r="H902" s="5">
        <f>IF($G902="正常",ROUND(($F902-$E902)*1440,0),"")</f>
        <v/>
      </c>
      <c r="I902" s="6">
        <f>IF($G902="正常",$H902/60,"")</f>
        <v/>
      </c>
      <c r="J902" s="7">
        <f>IF($G902="正常",ROUND($H902/30,0)/2,"")</f>
        <v/>
      </c>
      <c r="K902" s="7">
        <f>IF($G902="正常",MIN($J902,12),"")</f>
        <v/>
      </c>
      <c r="L902" s="7">
        <f>IF($G902="正常",MAX($J902-12,0),"")</f>
        <v/>
      </c>
    </row>
    <row r="903">
      <c r="A903" s="3" t="inlineStr">
        <is>
          <t>曾德秀</t>
        </is>
      </c>
      <c r="B903" s="3" t="inlineStr">
        <is>
          <t>8/3</t>
        </is>
      </c>
      <c r="C903" s="3" t="inlineStr">
        <is>
          <t>一</t>
        </is>
      </c>
      <c r="D903" s="3" t="inlineStr">
        <is>
          <t>08:27 15:31</t>
        </is>
      </c>
      <c r="E903" s="4" t="n">
        <v>0.3520833333333334</v>
      </c>
      <c r="F903" s="4" t="n">
        <v>0.6465277777777778</v>
      </c>
      <c r="G903" s="3">
        <f>IF($E903="","空卡",IF($F903="","单卡","正常"))</f>
        <v/>
      </c>
      <c r="H903" s="5">
        <f>IF($G903="正常",ROUND(($F903-$E903)*1440,0),"")</f>
        <v/>
      </c>
      <c r="I903" s="6">
        <f>IF($G903="正常",$H903/60,"")</f>
        <v/>
      </c>
      <c r="J903" s="7">
        <f>IF($G903="正常",ROUND($H903/30,0)/2,"")</f>
        <v/>
      </c>
      <c r="K903" s="7">
        <f>IF($G903="正常",MIN($J903,12),"")</f>
        <v/>
      </c>
      <c r="L903" s="7">
        <f>IF($G903="正常",MAX($J903-12,0),"")</f>
        <v/>
      </c>
    </row>
    <row r="904">
      <c r="A904" s="3" t="inlineStr">
        <is>
          <t>曾德秀</t>
        </is>
      </c>
      <c r="B904" s="3" t="inlineStr">
        <is>
          <t>8/4</t>
        </is>
      </c>
      <c r="C904" s="3" t="inlineStr">
        <is>
          <t>二</t>
        </is>
      </c>
      <c r="D904" s="3" t="inlineStr">
        <is>
          <t>07:50 20:34</t>
        </is>
      </c>
      <c r="E904" s="4" t="n">
        <v>0.3263888888888889</v>
      </c>
      <c r="F904" s="4" t="n">
        <v>0.8569444444444444</v>
      </c>
      <c r="G904" s="3">
        <f>IF($E904="","空卡",IF($F904="","单卡","正常"))</f>
        <v/>
      </c>
      <c r="H904" s="5">
        <f>IF($G904="正常",ROUND(($F904-$E904)*1440,0),"")</f>
        <v/>
      </c>
      <c r="I904" s="6">
        <f>IF($G904="正常",$H904/60,"")</f>
        <v/>
      </c>
      <c r="J904" s="7">
        <f>IF($G904="正常",ROUND($H904/30,0)/2,"")</f>
        <v/>
      </c>
      <c r="K904" s="7">
        <f>IF($G904="正常",MIN($J904,12),"")</f>
        <v/>
      </c>
      <c r="L904" s="7">
        <f>IF($G904="正常",MAX($J904-12,0),"")</f>
        <v/>
      </c>
    </row>
    <row r="905">
      <c r="A905" s="3" t="inlineStr">
        <is>
          <t>曾德秀</t>
        </is>
      </c>
      <c r="B905" s="3" t="inlineStr">
        <is>
          <t>8/5</t>
        </is>
      </c>
      <c r="C905" s="3" t="inlineStr">
        <is>
          <t>三</t>
        </is>
      </c>
      <c r="D905" s="3" t="inlineStr">
        <is>
          <t>09:56 19:36</t>
        </is>
      </c>
      <c r="E905" s="4" t="n">
        <v>0.4138888888888889</v>
      </c>
      <c r="F905" s="4" t="n">
        <v>0.8166666666666667</v>
      </c>
      <c r="G905" s="3">
        <f>IF($E905="","空卡",IF($F905="","单卡","正常"))</f>
        <v/>
      </c>
      <c r="H905" s="5">
        <f>IF($G905="正常",ROUND(($F905-$E905)*1440,0),"")</f>
        <v/>
      </c>
      <c r="I905" s="6">
        <f>IF($G905="正常",$H905/60,"")</f>
        <v/>
      </c>
      <c r="J905" s="7">
        <f>IF($G905="正常",ROUND($H905/30,0)/2,"")</f>
        <v/>
      </c>
      <c r="K905" s="7">
        <f>IF($G905="正常",MIN($J905,12),"")</f>
        <v/>
      </c>
      <c r="L905" s="7">
        <f>IF($G905="正常",MAX($J905-12,0),"")</f>
        <v/>
      </c>
    </row>
    <row r="906">
      <c r="A906" s="3" t="inlineStr">
        <is>
          <t>曾德秀</t>
        </is>
      </c>
      <c r="B906" s="3" t="inlineStr">
        <is>
          <t>8/6</t>
        </is>
      </c>
      <c r="C906" s="3" t="inlineStr">
        <is>
          <t>四</t>
        </is>
      </c>
      <c r="D906" s="3" t="inlineStr">
        <is>
          <t>08:22 19:33</t>
        </is>
      </c>
      <c r="E906" s="4" t="n">
        <v>0.3486111111111111</v>
      </c>
      <c r="F906" s="4" t="n">
        <v>0.8145833333333333</v>
      </c>
      <c r="G906" s="3">
        <f>IF($E906="","空卡",IF($F906="","单卡","正常"))</f>
        <v/>
      </c>
      <c r="H906" s="5">
        <f>IF($G906="正常",ROUND(($F906-$E906)*1440,0),"")</f>
        <v/>
      </c>
      <c r="I906" s="6">
        <f>IF($G906="正常",$H906/60,"")</f>
        <v/>
      </c>
      <c r="J906" s="7">
        <f>IF($G906="正常",ROUND($H906/30,0)/2,"")</f>
        <v/>
      </c>
      <c r="K906" s="7">
        <f>IF($G906="正常",MIN($J906,12),"")</f>
        <v/>
      </c>
      <c r="L906" s="7">
        <f>IF($G906="正常",MAX($J906-12,0),"")</f>
        <v/>
      </c>
    </row>
    <row r="907">
      <c r="A907" s="3" t="inlineStr">
        <is>
          <t>曾德秀</t>
        </is>
      </c>
      <c r="B907" s="3" t="inlineStr">
        <is>
          <t>8/7</t>
        </is>
      </c>
      <c r="C907" s="3" t="inlineStr">
        <is>
          <t>五</t>
        </is>
      </c>
      <c r="D907" s="3" t="inlineStr">
        <is>
          <t>07:54 19:59</t>
        </is>
      </c>
      <c r="E907" s="4" t="n">
        <v>0.3291666666666667</v>
      </c>
      <c r="F907" s="4" t="n">
        <v>0.8326388888888889</v>
      </c>
      <c r="G907" s="3">
        <f>IF($E907="","空卡",IF($F907="","单卡","正常"))</f>
        <v/>
      </c>
      <c r="H907" s="5">
        <f>IF($G907="正常",ROUND(($F907-$E907)*1440,0),"")</f>
        <v/>
      </c>
      <c r="I907" s="6">
        <f>IF($G907="正常",$H907/60,"")</f>
        <v/>
      </c>
      <c r="J907" s="7">
        <f>IF($G907="正常",ROUND($H907/30,0)/2,"")</f>
        <v/>
      </c>
      <c r="K907" s="7">
        <f>IF($G907="正常",MIN($J907,12),"")</f>
        <v/>
      </c>
      <c r="L907" s="7">
        <f>IF($G907="正常",MAX($J907-12,0),"")</f>
        <v/>
      </c>
    </row>
    <row r="908">
      <c r="A908" s="3" t="inlineStr">
        <is>
          <t>曾德秀</t>
        </is>
      </c>
      <c r="B908" s="3" t="inlineStr">
        <is>
          <t>8/8</t>
        </is>
      </c>
      <c r="C908" s="3" t="inlineStr">
        <is>
          <t>六</t>
        </is>
      </c>
      <c r="D908" s="3" t="inlineStr">
        <is>
          <t>08:18 19:37</t>
        </is>
      </c>
      <c r="E908" s="4" t="n">
        <v>0.3458333333333333</v>
      </c>
      <c r="F908" s="4" t="n">
        <v>0.8173611111111111</v>
      </c>
      <c r="G908" s="3">
        <f>IF($E908="","空卡",IF($F908="","单卡","正常"))</f>
        <v/>
      </c>
      <c r="H908" s="5">
        <f>IF($G908="正常",ROUND(($F908-$E908)*1440,0),"")</f>
        <v/>
      </c>
      <c r="I908" s="6">
        <f>IF($G908="正常",$H908/60,"")</f>
        <v/>
      </c>
      <c r="J908" s="7">
        <f>IF($G908="正常",ROUND($H908/30,0)/2,"")</f>
        <v/>
      </c>
      <c r="K908" s="7">
        <f>IF($G908="正常",MIN($J908,12),"")</f>
        <v/>
      </c>
      <c r="L908" s="7">
        <f>IF($G908="正常",MAX($J908-12,0),"")</f>
        <v/>
      </c>
    </row>
    <row r="909">
      <c r="A909" s="3" t="inlineStr">
        <is>
          <t>曾德秀</t>
        </is>
      </c>
      <c r="B909" s="3" t="inlineStr">
        <is>
          <t>8/9</t>
        </is>
      </c>
      <c r="C909" s="3" t="inlineStr">
        <is>
          <t>日</t>
        </is>
      </c>
      <c r="D909" s="3" t="inlineStr">
        <is>
          <t>07:30 20:07</t>
        </is>
      </c>
      <c r="E909" s="4" t="n">
        <v>0.3125</v>
      </c>
      <c r="F909" s="4" t="n">
        <v>0.8381944444444445</v>
      </c>
      <c r="G909" s="3">
        <f>IF($E909="","空卡",IF($F909="","单卡","正常"))</f>
        <v/>
      </c>
      <c r="H909" s="5">
        <f>IF($G909="正常",ROUND(($F909-$E909)*1440,0),"")</f>
        <v/>
      </c>
      <c r="I909" s="6">
        <f>IF($G909="正常",$H909/60,"")</f>
        <v/>
      </c>
      <c r="J909" s="7">
        <f>IF($G909="正常",ROUND($H909/30,0)/2,"")</f>
        <v/>
      </c>
      <c r="K909" s="7">
        <f>IF($G909="正常",MIN($J909,12),"")</f>
        <v/>
      </c>
      <c r="L909" s="7">
        <f>IF($G909="正常",MAX($J909-12,0),"")</f>
        <v/>
      </c>
    </row>
    <row r="910">
      <c r="A910" s="3" t="inlineStr">
        <is>
          <t>曾德秀</t>
        </is>
      </c>
      <c r="B910" s="3" t="inlineStr">
        <is>
          <t>8/10</t>
        </is>
      </c>
      <c r="C910" s="3" t="inlineStr">
        <is>
          <t>一</t>
        </is>
      </c>
      <c r="D910" s="3" t="inlineStr">
        <is>
          <t>08:22 19:58</t>
        </is>
      </c>
      <c r="E910" s="4" t="n">
        <v>0.3486111111111111</v>
      </c>
      <c r="F910" s="4" t="n">
        <v>0.8319444444444445</v>
      </c>
      <c r="G910" s="3">
        <f>IF($E910="","空卡",IF($F910="","单卡","正常"))</f>
        <v/>
      </c>
      <c r="H910" s="5">
        <f>IF($G910="正常",ROUND(($F910-$E910)*1440,0),"")</f>
        <v/>
      </c>
      <c r="I910" s="6">
        <f>IF($G910="正常",$H910/60,"")</f>
        <v/>
      </c>
      <c r="J910" s="7">
        <f>IF($G910="正常",ROUND($H910/30,0)/2,"")</f>
        <v/>
      </c>
      <c r="K910" s="7">
        <f>IF($G910="正常",MIN($J910,12),"")</f>
        <v/>
      </c>
      <c r="L910" s="7">
        <f>IF($G910="正常",MAX($J910-12,0),"")</f>
        <v/>
      </c>
    </row>
    <row r="911">
      <c r="A911" s="3" t="inlineStr">
        <is>
          <t>曾德秀</t>
        </is>
      </c>
      <c r="B911" s="3" t="inlineStr">
        <is>
          <t>8/11</t>
        </is>
      </c>
      <c r="C911" s="3" t="inlineStr">
        <is>
          <t>二</t>
        </is>
      </c>
      <c r="D911" s="3" t="inlineStr">
        <is>
          <t>08:22 18:06</t>
        </is>
      </c>
      <c r="E911" s="4" t="n">
        <v>0.3486111111111111</v>
      </c>
      <c r="F911" s="4" t="n">
        <v>0.7541666666666667</v>
      </c>
      <c r="G911" s="3">
        <f>IF($E911="","空卡",IF($F911="","单卡","正常"))</f>
        <v/>
      </c>
      <c r="H911" s="5">
        <f>IF($G911="正常",ROUND(($F911-$E911)*1440,0),"")</f>
        <v/>
      </c>
      <c r="I911" s="6">
        <f>IF($G911="正常",$H911/60,"")</f>
        <v/>
      </c>
      <c r="J911" s="7">
        <f>IF($G911="正常",ROUND($H911/30,0)/2,"")</f>
        <v/>
      </c>
      <c r="K911" s="7">
        <f>IF($G911="正常",MIN($J911,12),"")</f>
        <v/>
      </c>
      <c r="L911" s="7">
        <f>IF($G911="正常",MAX($J911-12,0),"")</f>
        <v/>
      </c>
    </row>
    <row r="912">
      <c r="A912" s="3" t="inlineStr">
        <is>
          <t>曾德秀</t>
        </is>
      </c>
      <c r="B912" s="3" t="inlineStr">
        <is>
          <t>8/12</t>
        </is>
      </c>
      <c r="C912" s="3" t="inlineStr">
        <is>
          <t>三</t>
        </is>
      </c>
      <c r="D912" s="3" t="inlineStr">
        <is>
          <t>08:21 18:34</t>
        </is>
      </c>
      <c r="E912" s="4" t="n">
        <v>0.3479166666666667</v>
      </c>
      <c r="F912" s="4" t="n">
        <v>0.7736111111111111</v>
      </c>
      <c r="G912" s="3">
        <f>IF($E912="","空卡",IF($F912="","单卡","正常"))</f>
        <v/>
      </c>
      <c r="H912" s="5">
        <f>IF($G912="正常",ROUND(($F912-$E912)*1440,0),"")</f>
        <v/>
      </c>
      <c r="I912" s="6">
        <f>IF($G912="正常",$H912/60,"")</f>
        <v/>
      </c>
      <c r="J912" s="7">
        <f>IF($G912="正常",ROUND($H912/30,0)/2,"")</f>
        <v/>
      </c>
      <c r="K912" s="7">
        <f>IF($G912="正常",MIN($J912,12),"")</f>
        <v/>
      </c>
      <c r="L912" s="7">
        <f>IF($G912="正常",MAX($J912-12,0),"")</f>
        <v/>
      </c>
    </row>
    <row r="913">
      <c r="A913" s="3" t="inlineStr">
        <is>
          <t>曾德秀</t>
        </is>
      </c>
      <c r="B913" s="3" t="inlineStr">
        <is>
          <t>8/13</t>
        </is>
      </c>
      <c r="C913" s="3" t="inlineStr">
        <is>
          <t>四</t>
        </is>
      </c>
      <c r="D913" s="3" t="inlineStr">
        <is>
          <t>09:57 19:05</t>
        </is>
      </c>
      <c r="E913" s="4" t="n">
        <v>0.4145833333333334</v>
      </c>
      <c r="F913" s="4" t="n">
        <v>0.7951388888888888</v>
      </c>
      <c r="G913" s="3">
        <f>IF($E913="","空卡",IF($F913="","单卡","正常"))</f>
        <v/>
      </c>
      <c r="H913" s="5">
        <f>IF($G913="正常",ROUND(($F913-$E913)*1440,0),"")</f>
        <v/>
      </c>
      <c r="I913" s="6">
        <f>IF($G913="正常",$H913/60,"")</f>
        <v/>
      </c>
      <c r="J913" s="7">
        <f>IF($G913="正常",ROUND($H913/30,0)/2,"")</f>
        <v/>
      </c>
      <c r="K913" s="7">
        <f>IF($G913="正常",MIN($J913,12),"")</f>
        <v/>
      </c>
      <c r="L913" s="7">
        <f>IF($G913="正常",MAX($J913-12,0),"")</f>
        <v/>
      </c>
    </row>
    <row r="914">
      <c r="A914" s="3" t="inlineStr">
        <is>
          <t>曾德秀</t>
        </is>
      </c>
      <c r="B914" s="3" t="inlineStr">
        <is>
          <t>8/14</t>
        </is>
      </c>
      <c r="C914" s="3" t="inlineStr">
        <is>
          <t>五</t>
        </is>
      </c>
      <c r="D914" s="3" t="inlineStr">
        <is>
          <t>06:57 21:03</t>
        </is>
      </c>
      <c r="E914" s="4" t="n">
        <v>0.2895833333333334</v>
      </c>
      <c r="F914" s="4" t="n">
        <v>0.8770833333333333</v>
      </c>
      <c r="G914" s="3">
        <f>IF($E914="","空卡",IF($F914="","单卡","正常"))</f>
        <v/>
      </c>
      <c r="H914" s="5">
        <f>IF($G914="正常",ROUND(($F914-$E914)*1440,0),"")</f>
        <v/>
      </c>
      <c r="I914" s="6">
        <f>IF($G914="正常",$H914/60,"")</f>
        <v/>
      </c>
      <c r="J914" s="7">
        <f>IF($G914="正常",ROUND($H914/30,0)/2,"")</f>
        <v/>
      </c>
      <c r="K914" s="7">
        <f>IF($G914="正常",MIN($J914,12),"")</f>
        <v/>
      </c>
      <c r="L914" s="7">
        <f>IF($G914="正常",MAX($J914-12,0),"")</f>
        <v/>
      </c>
    </row>
    <row r="915">
      <c r="A915" s="3" t="inlineStr">
        <is>
          <t>曾德秀</t>
        </is>
      </c>
      <c r="B915" s="3" t="inlineStr">
        <is>
          <t>8/15</t>
        </is>
      </c>
      <c r="C915" s="3" t="inlineStr">
        <is>
          <t>六</t>
        </is>
      </c>
      <c r="D915" s="3" t="inlineStr">
        <is>
          <t>06:57 19:06</t>
        </is>
      </c>
      <c r="E915" s="4" t="n">
        <v>0.2895833333333334</v>
      </c>
      <c r="F915" s="4" t="n">
        <v>0.7958333333333333</v>
      </c>
      <c r="G915" s="3">
        <f>IF($E915="","空卡",IF($F915="","单卡","正常"))</f>
        <v/>
      </c>
      <c r="H915" s="5">
        <f>IF($G915="正常",ROUND(($F915-$E915)*1440,0),"")</f>
        <v/>
      </c>
      <c r="I915" s="6">
        <f>IF($G915="正常",$H915/60,"")</f>
        <v/>
      </c>
      <c r="J915" s="7">
        <f>IF($G915="正常",ROUND($H915/30,0)/2,"")</f>
        <v/>
      </c>
      <c r="K915" s="7">
        <f>IF($G915="正常",MIN($J915,12),"")</f>
        <v/>
      </c>
      <c r="L915" s="7">
        <f>IF($G915="正常",MAX($J915-12,0),"")</f>
        <v/>
      </c>
    </row>
    <row r="916">
      <c r="A916" s="3" t="inlineStr">
        <is>
          <t>曾德秀</t>
        </is>
      </c>
      <c r="B916" s="3" t="inlineStr">
        <is>
          <t>8/16</t>
        </is>
      </c>
      <c r="C916" s="3" t="inlineStr">
        <is>
          <t>日</t>
        </is>
      </c>
      <c r="D916" s="3" t="inlineStr">
        <is>
          <t>07:56 18:19</t>
        </is>
      </c>
      <c r="E916" s="4" t="n">
        <v>0.3305555555555555</v>
      </c>
      <c r="F916" s="4" t="n">
        <v>0.7631944444444444</v>
      </c>
      <c r="G916" s="3">
        <f>IF($E916="","空卡",IF($F916="","单卡","正常"))</f>
        <v/>
      </c>
      <c r="H916" s="5">
        <f>IF($G916="正常",ROUND(($F916-$E916)*1440,0),"")</f>
        <v/>
      </c>
      <c r="I916" s="6">
        <f>IF($G916="正常",$H916/60,"")</f>
        <v/>
      </c>
      <c r="J916" s="7">
        <f>IF($G916="正常",ROUND($H916/30,0)/2,"")</f>
        <v/>
      </c>
      <c r="K916" s="7">
        <f>IF($G916="正常",MIN($J916,12),"")</f>
        <v/>
      </c>
      <c r="L916" s="7">
        <f>IF($G916="正常",MAX($J916-12,0),"")</f>
        <v/>
      </c>
    </row>
    <row r="917">
      <c r="A917" s="3" t="inlineStr">
        <is>
          <t>曾德秀</t>
        </is>
      </c>
      <c r="B917" s="3" t="inlineStr">
        <is>
          <t>8/17</t>
        </is>
      </c>
      <c r="C917" s="3" t="inlineStr">
        <is>
          <t>一</t>
        </is>
      </c>
      <c r="D917" s="3" t="inlineStr">
        <is>
          <t>07:47 19:58</t>
        </is>
      </c>
      <c r="E917" s="4" t="n">
        <v>0.3243055555555556</v>
      </c>
      <c r="F917" s="4" t="n">
        <v>0.8319444444444445</v>
      </c>
      <c r="G917" s="3">
        <f>IF($E917="","空卡",IF($F917="","单卡","正常"))</f>
        <v/>
      </c>
      <c r="H917" s="5">
        <f>IF($G917="正常",ROUND(($F917-$E917)*1440,0),"")</f>
        <v/>
      </c>
      <c r="I917" s="6">
        <f>IF($G917="正常",$H917/60,"")</f>
        <v/>
      </c>
      <c r="J917" s="7">
        <f>IF($G917="正常",ROUND($H917/30,0)/2,"")</f>
        <v/>
      </c>
      <c r="K917" s="7">
        <f>IF($G917="正常",MIN($J917,12),"")</f>
        <v/>
      </c>
      <c r="L917" s="7">
        <f>IF($G917="正常",MAX($J917-12,0),"")</f>
        <v/>
      </c>
    </row>
    <row r="918">
      <c r="A918" s="3" t="inlineStr">
        <is>
          <t>曾德秀</t>
        </is>
      </c>
      <c r="B918" s="3" t="inlineStr">
        <is>
          <t>8/18</t>
        </is>
      </c>
      <c r="C918" s="3" t="inlineStr">
        <is>
          <t>二</t>
        </is>
      </c>
      <c r="D918" s="3" t="inlineStr">
        <is>
          <t>07:56 19:03</t>
        </is>
      </c>
      <c r="E918" s="4" t="n">
        <v>0.3305555555555555</v>
      </c>
      <c r="F918" s="4" t="n">
        <v>0.79375</v>
      </c>
      <c r="G918" s="3">
        <f>IF($E918="","空卡",IF($F918="","单卡","正常"))</f>
        <v/>
      </c>
      <c r="H918" s="5">
        <f>IF($G918="正常",ROUND(($F918-$E918)*1440,0),"")</f>
        <v/>
      </c>
      <c r="I918" s="6">
        <f>IF($G918="正常",$H918/60,"")</f>
        <v/>
      </c>
      <c r="J918" s="7">
        <f>IF($G918="正常",ROUND($H918/30,0)/2,"")</f>
        <v/>
      </c>
      <c r="K918" s="7">
        <f>IF($G918="正常",MIN($J918,12),"")</f>
        <v/>
      </c>
      <c r="L918" s="7">
        <f>IF($G918="正常",MAX($J918-12,0),"")</f>
        <v/>
      </c>
    </row>
    <row r="919">
      <c r="A919" s="3" t="inlineStr">
        <is>
          <t>曾德秀</t>
        </is>
      </c>
      <c r="B919" s="3" t="inlineStr">
        <is>
          <t>8/19</t>
        </is>
      </c>
      <c r="C919" s="3" t="inlineStr">
        <is>
          <t>三</t>
        </is>
      </c>
      <c r="D919" s="3" t="inlineStr">
        <is>
          <t>08:58 20:32</t>
        </is>
      </c>
      <c r="E919" s="4" t="n">
        <v>0.3736111111111111</v>
      </c>
      <c r="F919" s="4" t="n">
        <v>0.8555555555555555</v>
      </c>
      <c r="G919" s="3">
        <f>IF($E919="","空卡",IF($F919="","单卡","正常"))</f>
        <v/>
      </c>
      <c r="H919" s="5">
        <f>IF($G919="正常",ROUND(($F919-$E919)*1440,0),"")</f>
        <v/>
      </c>
      <c r="I919" s="6">
        <f>IF($G919="正常",$H919/60,"")</f>
        <v/>
      </c>
      <c r="J919" s="7">
        <f>IF($G919="正常",ROUND($H919/30,0)/2,"")</f>
        <v/>
      </c>
      <c r="K919" s="7">
        <f>IF($G919="正常",MIN($J919,12),"")</f>
        <v/>
      </c>
      <c r="L919" s="7">
        <f>IF($G919="正常",MAX($J919-12,0),"")</f>
        <v/>
      </c>
    </row>
    <row r="920">
      <c r="A920" s="3" t="inlineStr">
        <is>
          <t>曾德秀</t>
        </is>
      </c>
      <c r="B920" s="3" t="inlineStr">
        <is>
          <t>8/20</t>
        </is>
      </c>
      <c r="C920" s="3" t="inlineStr">
        <is>
          <t>四</t>
        </is>
      </c>
      <c r="D920" s="3" t="inlineStr">
        <is>
          <t>08:29 20:30</t>
        </is>
      </c>
      <c r="E920" s="4" t="n">
        <v>0.3534722222222222</v>
      </c>
      <c r="F920" s="4" t="n">
        <v>0.8541666666666666</v>
      </c>
      <c r="G920" s="3">
        <f>IF($E920="","空卡",IF($F920="","单卡","正常"))</f>
        <v/>
      </c>
      <c r="H920" s="5">
        <f>IF($G920="正常",ROUND(($F920-$E920)*1440,0),"")</f>
        <v/>
      </c>
      <c r="I920" s="6">
        <f>IF($G920="正常",$H920/60,"")</f>
        <v/>
      </c>
      <c r="J920" s="7">
        <f>IF($G920="正常",ROUND($H920/30,0)/2,"")</f>
        <v/>
      </c>
      <c r="K920" s="7">
        <f>IF($G920="正常",MIN($J920,12),"")</f>
        <v/>
      </c>
      <c r="L920" s="7">
        <f>IF($G920="正常",MAX($J920-12,0),"")</f>
        <v/>
      </c>
    </row>
    <row r="921">
      <c r="A921" s="3" t="inlineStr">
        <is>
          <t>曾德秀</t>
        </is>
      </c>
      <c r="B921" s="3" t="inlineStr">
        <is>
          <t>8/21</t>
        </is>
      </c>
      <c r="C921" s="3" t="inlineStr">
        <is>
          <t>五</t>
        </is>
      </c>
      <c r="D921" s="3" t="inlineStr">
        <is>
          <t>06:55 19:01</t>
        </is>
      </c>
      <c r="E921" s="4" t="n">
        <v>0.2881944444444444</v>
      </c>
      <c r="F921" s="4" t="n">
        <v>0.7923611111111111</v>
      </c>
      <c r="G921" s="3">
        <f>IF($E921="","空卡",IF($F921="","单卡","正常"))</f>
        <v/>
      </c>
      <c r="H921" s="5">
        <f>IF($G921="正常",ROUND(($F921-$E921)*1440,0),"")</f>
        <v/>
      </c>
      <c r="I921" s="6">
        <f>IF($G921="正常",$H921/60,"")</f>
        <v/>
      </c>
      <c r="J921" s="7">
        <f>IF($G921="正常",ROUND($H921/30,0)/2,"")</f>
        <v/>
      </c>
      <c r="K921" s="7">
        <f>IF($G921="正常",MIN($J921,12),"")</f>
        <v/>
      </c>
      <c r="L921" s="7">
        <f>IF($G921="正常",MAX($J921-12,0),"")</f>
        <v/>
      </c>
    </row>
    <row r="922">
      <c r="A922" s="3" t="inlineStr">
        <is>
          <t>曾德秀</t>
        </is>
      </c>
      <c r="B922" s="3" t="inlineStr">
        <is>
          <t>8/22</t>
        </is>
      </c>
      <c r="C922" s="3" t="inlineStr">
        <is>
          <t>六</t>
        </is>
      </c>
      <c r="D922" s="3" t="inlineStr">
        <is>
          <t>06:56 18:33</t>
        </is>
      </c>
      <c r="E922" s="4" t="n">
        <v>0.2888888888888889</v>
      </c>
      <c r="F922" s="4" t="n">
        <v>0.7729166666666667</v>
      </c>
      <c r="G922" s="3">
        <f>IF($E922="","空卡",IF($F922="","单卡","正常"))</f>
        <v/>
      </c>
      <c r="H922" s="5">
        <f>IF($G922="正常",ROUND(($F922-$E922)*1440,0),"")</f>
        <v/>
      </c>
      <c r="I922" s="6">
        <f>IF($G922="正常",$H922/60,"")</f>
        <v/>
      </c>
      <c r="J922" s="7">
        <f>IF($G922="正常",ROUND($H922/30,0)/2,"")</f>
        <v/>
      </c>
      <c r="K922" s="7">
        <f>IF($G922="正常",MIN($J922,12),"")</f>
        <v/>
      </c>
      <c r="L922" s="7">
        <f>IF($G922="正常",MAX($J922-12,0),"")</f>
        <v/>
      </c>
    </row>
    <row r="923">
      <c r="A923" s="3" t="inlineStr">
        <is>
          <t>曾德秀</t>
        </is>
      </c>
      <c r="B923" s="3" t="inlineStr">
        <is>
          <t>8/23</t>
        </is>
      </c>
      <c r="C923" s="3" t="inlineStr">
        <is>
          <t>日</t>
        </is>
      </c>
      <c r="D923" s="3" t="inlineStr">
        <is>
          <t>07:00 17:59</t>
        </is>
      </c>
      <c r="E923" s="4" t="n">
        <v>0.2916666666666667</v>
      </c>
      <c r="F923" s="4" t="n">
        <v>0.7493055555555556</v>
      </c>
      <c r="G923" s="3">
        <f>IF($E923="","空卡",IF($F923="","单卡","正常"))</f>
        <v/>
      </c>
      <c r="H923" s="5">
        <f>IF($G923="正常",ROUND(($F923-$E923)*1440,0),"")</f>
        <v/>
      </c>
      <c r="I923" s="6">
        <f>IF($G923="正常",$H923/60,"")</f>
        <v/>
      </c>
      <c r="J923" s="7">
        <f>IF($G923="正常",ROUND($H923/30,0)/2,"")</f>
        <v/>
      </c>
      <c r="K923" s="7">
        <f>IF($G923="正常",MIN($J923,12),"")</f>
        <v/>
      </c>
      <c r="L923" s="7">
        <f>IF($G923="正常",MAX($J923-12,0),"")</f>
        <v/>
      </c>
    </row>
    <row r="924">
      <c r="A924" s="3" t="inlineStr">
        <is>
          <t>曾德秀</t>
        </is>
      </c>
      <c r="B924" s="3" t="inlineStr">
        <is>
          <t>8/24</t>
        </is>
      </c>
      <c r="C924" s="3" t="inlineStr">
        <is>
          <t>一</t>
        </is>
      </c>
      <c r="D924" s="3" t="inlineStr">
        <is>
          <t>06:58 16:35</t>
        </is>
      </c>
      <c r="E924" s="4" t="n">
        <v>0.2902777777777778</v>
      </c>
      <c r="F924" s="4" t="n">
        <v>0.6909722222222222</v>
      </c>
      <c r="G924" s="3">
        <f>IF($E924="","空卡",IF($F924="","单卡","正常"))</f>
        <v/>
      </c>
      <c r="H924" s="5">
        <f>IF($G924="正常",ROUND(($F924-$E924)*1440,0),"")</f>
        <v/>
      </c>
      <c r="I924" s="6">
        <f>IF($G924="正常",$H924/60,"")</f>
        <v/>
      </c>
      <c r="J924" s="7">
        <f>IF($G924="正常",ROUND($H924/30,0)/2,"")</f>
        <v/>
      </c>
      <c r="K924" s="7">
        <f>IF($G924="正常",MIN($J924,12),"")</f>
        <v/>
      </c>
      <c r="L924" s="7">
        <f>IF($G924="正常",MAX($J924-12,0),"")</f>
        <v/>
      </c>
    </row>
    <row r="925">
      <c r="A925" s="3" t="inlineStr">
        <is>
          <t>曾德秀</t>
        </is>
      </c>
      <c r="B925" s="3" t="inlineStr">
        <is>
          <t>8/25</t>
        </is>
      </c>
      <c r="C925" s="3" t="inlineStr">
        <is>
          <t>二</t>
        </is>
      </c>
      <c r="D925" s="3" t="inlineStr">
        <is>
          <t>07:57 18:38</t>
        </is>
      </c>
      <c r="E925" s="4" t="n">
        <v>0.33125</v>
      </c>
      <c r="F925" s="4" t="n">
        <v>0.7763888888888889</v>
      </c>
      <c r="G925" s="3">
        <f>IF($E925="","空卡",IF($F925="","单卡","正常"))</f>
        <v/>
      </c>
      <c r="H925" s="5">
        <f>IF($G925="正常",ROUND(($F925-$E925)*1440,0),"")</f>
        <v/>
      </c>
      <c r="I925" s="6">
        <f>IF($G925="正常",$H925/60,"")</f>
        <v/>
      </c>
      <c r="J925" s="7">
        <f>IF($G925="正常",ROUND($H925/30,0)/2,"")</f>
        <v/>
      </c>
      <c r="K925" s="7">
        <f>IF($G925="正常",MIN($J925,12),"")</f>
        <v/>
      </c>
      <c r="L925" s="7">
        <f>IF($G925="正常",MAX($J925-12,0),"")</f>
        <v/>
      </c>
    </row>
    <row r="926">
      <c r="A926" s="3" t="inlineStr">
        <is>
          <t>曾德秀</t>
        </is>
      </c>
      <c r="B926" s="3" t="inlineStr">
        <is>
          <t>8/26</t>
        </is>
      </c>
      <c r="C926" s="3" t="inlineStr">
        <is>
          <t>三</t>
        </is>
      </c>
      <c r="D926" s="3" t="inlineStr">
        <is>
          <t>07:58 18:58</t>
        </is>
      </c>
      <c r="E926" s="4" t="n">
        <v>0.3319444444444444</v>
      </c>
      <c r="F926" s="4" t="n">
        <v>0.7902777777777777</v>
      </c>
      <c r="G926" s="3">
        <f>IF($E926="","空卡",IF($F926="","单卡","正常"))</f>
        <v/>
      </c>
      <c r="H926" s="5">
        <f>IF($G926="正常",ROUND(($F926-$E926)*1440,0),"")</f>
        <v/>
      </c>
      <c r="I926" s="6">
        <f>IF($G926="正常",$H926/60,"")</f>
        <v/>
      </c>
      <c r="J926" s="7">
        <f>IF($G926="正常",ROUND($H926/30,0)/2,"")</f>
        <v/>
      </c>
      <c r="K926" s="7">
        <f>IF($G926="正常",MIN($J926,12),"")</f>
        <v/>
      </c>
      <c r="L926" s="7">
        <f>IF($G926="正常",MAX($J926-12,0),"")</f>
        <v/>
      </c>
    </row>
    <row r="927">
      <c r="A927" s="3" t="inlineStr">
        <is>
          <t>曾德秀</t>
        </is>
      </c>
      <c r="B927" s="3" t="inlineStr">
        <is>
          <t>8/27</t>
        </is>
      </c>
      <c r="C927" s="3" t="inlineStr">
        <is>
          <t>四</t>
        </is>
      </c>
      <c r="D927" s="3" t="inlineStr">
        <is>
          <t>07:56 19:30</t>
        </is>
      </c>
      <c r="E927" s="4" t="n">
        <v>0.3305555555555555</v>
      </c>
      <c r="F927" s="4" t="n">
        <v>0.8125</v>
      </c>
      <c r="G927" s="3">
        <f>IF($E927="","空卡",IF($F927="","单卡","正常"))</f>
        <v/>
      </c>
      <c r="H927" s="5">
        <f>IF($G927="正常",ROUND(($F927-$E927)*1440,0),"")</f>
        <v/>
      </c>
      <c r="I927" s="6">
        <f>IF($G927="正常",$H927/60,"")</f>
        <v/>
      </c>
      <c r="J927" s="7">
        <f>IF($G927="正常",ROUND($H927/30,0)/2,"")</f>
        <v/>
      </c>
      <c r="K927" s="7">
        <f>IF($G927="正常",MIN($J927,12),"")</f>
        <v/>
      </c>
      <c r="L927" s="7">
        <f>IF($G927="正常",MAX($J927-12,0),"")</f>
        <v/>
      </c>
    </row>
    <row r="928">
      <c r="A928" s="3" t="inlineStr">
        <is>
          <t>曾德秀</t>
        </is>
      </c>
      <c r="B928" s="3" t="inlineStr">
        <is>
          <t>8/28</t>
        </is>
      </c>
      <c r="C928" s="3" t="inlineStr">
        <is>
          <t>五</t>
        </is>
      </c>
      <c r="D928" s="3" t="inlineStr">
        <is>
          <t>07:58 18:29</t>
        </is>
      </c>
      <c r="E928" s="4" t="n">
        <v>0.3319444444444444</v>
      </c>
      <c r="F928" s="4" t="n">
        <v>0.7701388888888889</v>
      </c>
      <c r="G928" s="3">
        <f>IF($E928="","空卡",IF($F928="","单卡","正常"))</f>
        <v/>
      </c>
      <c r="H928" s="5">
        <f>IF($G928="正常",ROUND(($F928-$E928)*1440,0),"")</f>
        <v/>
      </c>
      <c r="I928" s="6">
        <f>IF($G928="正常",$H928/60,"")</f>
        <v/>
      </c>
      <c r="J928" s="7">
        <f>IF($G928="正常",ROUND($H928/30,0)/2,"")</f>
        <v/>
      </c>
      <c r="K928" s="7">
        <f>IF($G928="正常",MIN($J928,12),"")</f>
        <v/>
      </c>
      <c r="L928" s="7">
        <f>IF($G928="正常",MAX($J928-12,0),"")</f>
        <v/>
      </c>
    </row>
    <row r="929">
      <c r="A929" s="3" t="inlineStr">
        <is>
          <t>曾德秀</t>
        </is>
      </c>
      <c r="B929" s="3" t="inlineStr">
        <is>
          <t>8/29</t>
        </is>
      </c>
      <c r="C929" s="3" t="inlineStr">
        <is>
          <t>六</t>
        </is>
      </c>
      <c r="D929" s="3" t="inlineStr">
        <is>
          <t>07:56 22:36</t>
        </is>
      </c>
      <c r="E929" s="4" t="n">
        <v>0.3305555555555555</v>
      </c>
      <c r="F929" s="4" t="n">
        <v>0.9416666666666667</v>
      </c>
      <c r="G929" s="3">
        <f>IF($E929="","空卡",IF($F929="","单卡","正常"))</f>
        <v/>
      </c>
      <c r="H929" s="5">
        <f>IF($G929="正常",ROUND(($F929-$E929)*1440,0),"")</f>
        <v/>
      </c>
      <c r="I929" s="6">
        <f>IF($G929="正常",$H929/60,"")</f>
        <v/>
      </c>
      <c r="J929" s="7">
        <f>IF($G929="正常",ROUND($H929/30,0)/2,"")</f>
        <v/>
      </c>
      <c r="K929" s="7">
        <f>IF($G929="正常",MIN($J929,12),"")</f>
        <v/>
      </c>
      <c r="L929" s="7">
        <f>IF($G929="正常",MAX($J929-12,0),"")</f>
        <v/>
      </c>
    </row>
    <row r="930">
      <c r="A930" s="3" t="inlineStr">
        <is>
          <t>曾德秀</t>
        </is>
      </c>
      <c r="B930" s="3" t="inlineStr">
        <is>
          <t>8/30</t>
        </is>
      </c>
      <c r="C930" s="3" t="inlineStr">
        <is>
          <t>日</t>
        </is>
      </c>
      <c r="D930" s="3" t="inlineStr">
        <is>
          <t>07:58 18:44</t>
        </is>
      </c>
      <c r="E930" s="4" t="n">
        <v>0.3319444444444444</v>
      </c>
      <c r="F930" s="4" t="n">
        <v>0.7805555555555556</v>
      </c>
      <c r="G930" s="3">
        <f>IF($E930="","空卡",IF($F930="","单卡","正常"))</f>
        <v/>
      </c>
      <c r="H930" s="5">
        <f>IF($G930="正常",ROUND(($F930-$E930)*1440,0),"")</f>
        <v/>
      </c>
      <c r="I930" s="6">
        <f>IF($G930="正常",$H930/60,"")</f>
        <v/>
      </c>
      <c r="J930" s="7">
        <f>IF($G930="正常",ROUND($H930/30,0)/2,"")</f>
        <v/>
      </c>
      <c r="K930" s="7">
        <f>IF($G930="正常",MIN($J930,12),"")</f>
        <v/>
      </c>
      <c r="L930" s="7">
        <f>IF($G930="正常",MAX($J930-12,0),"")</f>
        <v/>
      </c>
    </row>
    <row r="931">
      <c r="A931" s="8" t="inlineStr">
        <is>
          <t>曾德秀</t>
        </is>
      </c>
      <c r="B931" s="8" t="inlineStr">
        <is>
          <t>8/31</t>
        </is>
      </c>
      <c r="C931" s="8" t="inlineStr">
        <is>
          <t>一</t>
        </is>
      </c>
      <c r="D931" s="8" t="inlineStr"/>
      <c r="E931" s="9" t="n"/>
      <c r="F931" s="9" t="n"/>
      <c r="G931" s="10">
        <f>IF($E931="","空卡",IF($F931="","单卡","正常"))</f>
        <v/>
      </c>
      <c r="H931" s="11">
        <f>IF($G931="正常",ROUND(($F931-$E931)*1440,0),"")</f>
        <v/>
      </c>
      <c r="I931" s="12">
        <f>IF($G931="正常",$H931/60,"")</f>
        <v/>
      </c>
      <c r="J931" s="13">
        <f>IF($G931="正常",ROUND($H931/30,0)/2,"")</f>
        <v/>
      </c>
      <c r="K931" s="13">
        <f>IF($G931="正常",MIN($J931,12),"")</f>
        <v/>
      </c>
      <c r="L931" s="13">
        <f>IF($G931="正常",MAX($J931-12,0),"")</f>
        <v/>
      </c>
    </row>
    <row r="932">
      <c r="A932" s="3" t="inlineStr">
        <is>
          <t>杨泽菊</t>
        </is>
      </c>
      <c r="B932" s="3" t="inlineStr">
        <is>
          <t>8/1</t>
        </is>
      </c>
      <c r="C932" s="3" t="inlineStr">
        <is>
          <t>六</t>
        </is>
      </c>
      <c r="D932" s="3" t="inlineStr">
        <is>
          <t>07:58 17:02</t>
        </is>
      </c>
      <c r="E932" s="4" t="n">
        <v>0.3319444444444444</v>
      </c>
      <c r="F932" s="4" t="n">
        <v>0.7097222222222223</v>
      </c>
      <c r="G932" s="3">
        <f>IF($E932="","空卡",IF($F932="","单卡","正常"))</f>
        <v/>
      </c>
      <c r="H932" s="5">
        <f>IF($G932="正常",ROUND(($F932-$E932)*1440,0),"")</f>
        <v/>
      </c>
      <c r="I932" s="6">
        <f>IF($G932="正常",$H932/60,"")</f>
        <v/>
      </c>
      <c r="J932" s="7">
        <f>IF($G932="正常",ROUND($H932/30,0)/2,"")</f>
        <v/>
      </c>
      <c r="K932" s="7">
        <f>IF($G932="正常",MIN($J932,12),"")</f>
        <v/>
      </c>
      <c r="L932" s="7">
        <f>IF($G932="正常",MAX($J932-12,0),"")</f>
        <v/>
      </c>
    </row>
    <row r="933">
      <c r="A933" s="3" t="inlineStr">
        <is>
          <t>杨泽菊</t>
        </is>
      </c>
      <c r="B933" s="3" t="inlineStr">
        <is>
          <t>8/2</t>
        </is>
      </c>
      <c r="C933" s="3" t="inlineStr">
        <is>
          <t>日</t>
        </is>
      </c>
      <c r="D933" s="3" t="inlineStr">
        <is>
          <t>07:55 14:59</t>
        </is>
      </c>
      <c r="E933" s="4" t="n">
        <v>0.3298611111111111</v>
      </c>
      <c r="F933" s="4" t="n">
        <v>0.6243055555555556</v>
      </c>
      <c r="G933" s="3">
        <f>IF($E933="","空卡",IF($F933="","单卡","正常"))</f>
        <v/>
      </c>
      <c r="H933" s="5">
        <f>IF($G933="正常",ROUND(($F933-$E933)*1440,0),"")</f>
        <v/>
      </c>
      <c r="I933" s="6">
        <f>IF($G933="正常",$H933/60,"")</f>
        <v/>
      </c>
      <c r="J933" s="7">
        <f>IF($G933="正常",ROUND($H933/30,0)/2,"")</f>
        <v/>
      </c>
      <c r="K933" s="7">
        <f>IF($G933="正常",MIN($J933,12),"")</f>
        <v/>
      </c>
      <c r="L933" s="7">
        <f>IF($G933="正常",MAX($J933-12,0),"")</f>
        <v/>
      </c>
    </row>
    <row r="934">
      <c r="A934" s="3" t="inlineStr">
        <is>
          <t>杨泽菊</t>
        </is>
      </c>
      <c r="B934" s="3" t="inlineStr">
        <is>
          <t>8/3</t>
        </is>
      </c>
      <c r="C934" s="3" t="inlineStr">
        <is>
          <t>一</t>
        </is>
      </c>
      <c r="D934" s="3" t="inlineStr">
        <is>
          <t>08:30 15:31</t>
        </is>
      </c>
      <c r="E934" s="4" t="n">
        <v>0.3541666666666667</v>
      </c>
      <c r="F934" s="4" t="n">
        <v>0.6465277777777778</v>
      </c>
      <c r="G934" s="3">
        <f>IF($E934="","空卡",IF($F934="","单卡","正常"))</f>
        <v/>
      </c>
      <c r="H934" s="5">
        <f>IF($G934="正常",ROUND(($F934-$E934)*1440,0),"")</f>
        <v/>
      </c>
      <c r="I934" s="6">
        <f>IF($G934="正常",$H934/60,"")</f>
        <v/>
      </c>
      <c r="J934" s="7">
        <f>IF($G934="正常",ROUND($H934/30,0)/2,"")</f>
        <v/>
      </c>
      <c r="K934" s="7">
        <f>IF($G934="正常",MIN($J934,12),"")</f>
        <v/>
      </c>
      <c r="L934" s="7">
        <f>IF($G934="正常",MAX($J934-12,0),"")</f>
        <v/>
      </c>
    </row>
    <row r="935">
      <c r="A935" s="3" t="inlineStr">
        <is>
          <t>杨泽菊</t>
        </is>
      </c>
      <c r="B935" s="3" t="inlineStr">
        <is>
          <t>8/4</t>
        </is>
      </c>
      <c r="C935" s="3" t="inlineStr">
        <is>
          <t>二</t>
        </is>
      </c>
      <c r="D935" s="3" t="inlineStr">
        <is>
          <t>08:54 19:32</t>
        </is>
      </c>
      <c r="E935" s="4" t="n">
        <v>0.3708333333333333</v>
      </c>
      <c r="F935" s="4" t="n">
        <v>0.8138888888888889</v>
      </c>
      <c r="G935" s="3">
        <f>IF($E935="","空卡",IF($F935="","单卡","正常"))</f>
        <v/>
      </c>
      <c r="H935" s="5">
        <f>IF($G935="正常",ROUND(($F935-$E935)*1440,0),"")</f>
        <v/>
      </c>
      <c r="I935" s="6">
        <f>IF($G935="正常",$H935/60,"")</f>
        <v/>
      </c>
      <c r="J935" s="7">
        <f>IF($G935="正常",ROUND($H935/30,0)/2,"")</f>
        <v/>
      </c>
      <c r="K935" s="7">
        <f>IF($G935="正常",MIN($J935,12),"")</f>
        <v/>
      </c>
      <c r="L935" s="7">
        <f>IF($G935="正常",MAX($J935-12,0),"")</f>
        <v/>
      </c>
    </row>
    <row r="936">
      <c r="A936" s="8" t="inlineStr">
        <is>
          <t>杨泽菊</t>
        </is>
      </c>
      <c r="B936" s="8" t="inlineStr">
        <is>
          <t>8/5</t>
        </is>
      </c>
      <c r="C936" s="8" t="inlineStr">
        <is>
          <t>三</t>
        </is>
      </c>
      <c r="D936" s="8" t="inlineStr"/>
      <c r="E936" s="9" t="n"/>
      <c r="F936" s="9" t="n"/>
      <c r="G936" s="10">
        <f>IF($E936="","空卡",IF($F936="","单卡","正常"))</f>
        <v/>
      </c>
      <c r="H936" s="11">
        <f>IF($G936="正常",ROUND(($F936-$E936)*1440,0),"")</f>
        <v/>
      </c>
      <c r="I936" s="12">
        <f>IF($G936="正常",$H936/60,"")</f>
        <v/>
      </c>
      <c r="J936" s="13">
        <f>IF($G936="正常",ROUND($H936/30,0)/2,"")</f>
        <v/>
      </c>
      <c r="K936" s="13">
        <f>IF($G936="正常",MIN($J936,12),"")</f>
        <v/>
      </c>
      <c r="L936" s="13">
        <f>IF($G936="正常",MAX($J936-12,0),"")</f>
        <v/>
      </c>
    </row>
    <row r="937">
      <c r="A937" s="3" t="inlineStr">
        <is>
          <t>杨泽菊</t>
        </is>
      </c>
      <c r="B937" s="3" t="inlineStr">
        <is>
          <t>8/6</t>
        </is>
      </c>
      <c r="C937" s="3" t="inlineStr">
        <is>
          <t>四</t>
        </is>
      </c>
      <c r="D937" s="3" t="inlineStr">
        <is>
          <t>08:53 19:01</t>
        </is>
      </c>
      <c r="E937" s="4" t="n">
        <v>0.3701388888888889</v>
      </c>
      <c r="F937" s="4" t="n">
        <v>0.7923611111111111</v>
      </c>
      <c r="G937" s="3">
        <f>IF($E937="","空卡",IF($F937="","单卡","正常"))</f>
        <v/>
      </c>
      <c r="H937" s="5">
        <f>IF($G937="正常",ROUND(($F937-$E937)*1440,0),"")</f>
        <v/>
      </c>
      <c r="I937" s="6">
        <f>IF($G937="正常",$H937/60,"")</f>
        <v/>
      </c>
      <c r="J937" s="7">
        <f>IF($G937="正常",ROUND($H937/30,0)/2,"")</f>
        <v/>
      </c>
      <c r="K937" s="7">
        <f>IF($G937="正常",MIN($J937,12),"")</f>
        <v/>
      </c>
      <c r="L937" s="7">
        <f>IF($G937="正常",MAX($J937-12,0),"")</f>
        <v/>
      </c>
    </row>
    <row r="938">
      <c r="A938" s="3" t="inlineStr">
        <is>
          <t>杨泽菊</t>
        </is>
      </c>
      <c r="B938" s="3" t="inlineStr">
        <is>
          <t>8/7</t>
        </is>
      </c>
      <c r="C938" s="3" t="inlineStr">
        <is>
          <t>五</t>
        </is>
      </c>
      <c r="D938" s="3" t="inlineStr">
        <is>
          <t>07:58 20:00</t>
        </is>
      </c>
      <c r="E938" s="4" t="n">
        <v>0.3319444444444444</v>
      </c>
      <c r="F938" s="4" t="n">
        <v>0.8333333333333334</v>
      </c>
      <c r="G938" s="3">
        <f>IF($E938="","空卡",IF($F938="","单卡","正常"))</f>
        <v/>
      </c>
      <c r="H938" s="5">
        <f>IF($G938="正常",ROUND(($F938-$E938)*1440,0),"")</f>
        <v/>
      </c>
      <c r="I938" s="6">
        <f>IF($G938="正常",$H938/60,"")</f>
        <v/>
      </c>
      <c r="J938" s="7">
        <f>IF($G938="正常",ROUND($H938/30,0)/2,"")</f>
        <v/>
      </c>
      <c r="K938" s="7">
        <f>IF($G938="正常",MIN($J938,12),"")</f>
        <v/>
      </c>
      <c r="L938" s="7">
        <f>IF($G938="正常",MAX($J938-12,0),"")</f>
        <v/>
      </c>
    </row>
    <row r="939">
      <c r="A939" s="3" t="inlineStr">
        <is>
          <t>杨泽菊</t>
        </is>
      </c>
      <c r="B939" s="3" t="inlineStr">
        <is>
          <t>8/8</t>
        </is>
      </c>
      <c r="C939" s="3" t="inlineStr">
        <is>
          <t>六</t>
        </is>
      </c>
      <c r="D939" s="3" t="inlineStr">
        <is>
          <t>08:27 19:38</t>
        </is>
      </c>
      <c r="E939" s="4" t="n">
        <v>0.3520833333333334</v>
      </c>
      <c r="F939" s="4" t="n">
        <v>0.8180555555555555</v>
      </c>
      <c r="G939" s="3">
        <f>IF($E939="","空卡",IF($F939="","单卡","正常"))</f>
        <v/>
      </c>
      <c r="H939" s="5">
        <f>IF($G939="正常",ROUND(($F939-$E939)*1440,0),"")</f>
        <v/>
      </c>
      <c r="I939" s="6">
        <f>IF($G939="正常",$H939/60,"")</f>
        <v/>
      </c>
      <c r="J939" s="7">
        <f>IF($G939="正常",ROUND($H939/30,0)/2,"")</f>
        <v/>
      </c>
      <c r="K939" s="7">
        <f>IF($G939="正常",MIN($J939,12),"")</f>
        <v/>
      </c>
      <c r="L939" s="7">
        <f>IF($G939="正常",MAX($J939-12,0),"")</f>
        <v/>
      </c>
    </row>
    <row r="940">
      <c r="A940" s="8" t="inlineStr">
        <is>
          <t>杨泽菊</t>
        </is>
      </c>
      <c r="B940" s="8" t="inlineStr">
        <is>
          <t>8/9</t>
        </is>
      </c>
      <c r="C940" s="8" t="inlineStr">
        <is>
          <t>日</t>
        </is>
      </c>
      <c r="D940" s="8" t="inlineStr"/>
      <c r="E940" s="9" t="n"/>
      <c r="F940" s="9" t="n"/>
      <c r="G940" s="10">
        <f>IF($E940="","空卡",IF($F940="","单卡","正常"))</f>
        <v/>
      </c>
      <c r="H940" s="11">
        <f>IF($G940="正常",ROUND(($F940-$E940)*1440,0),"")</f>
        <v/>
      </c>
      <c r="I940" s="12">
        <f>IF($G940="正常",$H940/60,"")</f>
        <v/>
      </c>
      <c r="J940" s="13">
        <f>IF($G940="正常",ROUND($H940/30,0)/2,"")</f>
        <v/>
      </c>
      <c r="K940" s="13">
        <f>IF($G940="正常",MIN($J940,12),"")</f>
        <v/>
      </c>
      <c r="L940" s="13">
        <f>IF($G940="正常",MAX($J940-12,0),"")</f>
        <v/>
      </c>
    </row>
    <row r="941">
      <c r="A941" s="3" t="inlineStr">
        <is>
          <t>杨泽菊</t>
        </is>
      </c>
      <c r="B941" s="3" t="inlineStr">
        <is>
          <t>8/10</t>
        </is>
      </c>
      <c r="C941" s="3" t="inlineStr">
        <is>
          <t>一</t>
        </is>
      </c>
      <c r="D941" s="3" t="inlineStr">
        <is>
          <t>08:26 19:56</t>
        </is>
      </c>
      <c r="E941" s="4" t="n">
        <v>0.3513888888888889</v>
      </c>
      <c r="F941" s="4" t="n">
        <v>0.8305555555555556</v>
      </c>
      <c r="G941" s="3">
        <f>IF($E941="","空卡",IF($F941="","单卡","正常"))</f>
        <v/>
      </c>
      <c r="H941" s="5">
        <f>IF($G941="正常",ROUND(($F941-$E941)*1440,0),"")</f>
        <v/>
      </c>
      <c r="I941" s="6">
        <f>IF($G941="正常",$H941/60,"")</f>
        <v/>
      </c>
      <c r="J941" s="7">
        <f>IF($G941="正常",ROUND($H941/30,0)/2,"")</f>
        <v/>
      </c>
      <c r="K941" s="7">
        <f>IF($G941="正常",MIN($J941,12),"")</f>
        <v/>
      </c>
      <c r="L941" s="7">
        <f>IF($G941="正常",MAX($J941-12,0),"")</f>
        <v/>
      </c>
    </row>
    <row r="942">
      <c r="A942" s="3" t="inlineStr">
        <is>
          <t>杨泽菊</t>
        </is>
      </c>
      <c r="B942" s="3" t="inlineStr">
        <is>
          <t>8/11</t>
        </is>
      </c>
      <c r="C942" s="3" t="inlineStr">
        <is>
          <t>二</t>
        </is>
      </c>
      <c r="D942" s="3" t="inlineStr">
        <is>
          <t>08:25 18:07</t>
        </is>
      </c>
      <c r="E942" s="4" t="n">
        <v>0.3506944444444444</v>
      </c>
      <c r="F942" s="4" t="n">
        <v>0.7548611111111111</v>
      </c>
      <c r="G942" s="3">
        <f>IF($E942="","空卡",IF($F942="","单卡","正常"))</f>
        <v/>
      </c>
      <c r="H942" s="5">
        <f>IF($G942="正常",ROUND(($F942-$E942)*1440,0),"")</f>
        <v/>
      </c>
      <c r="I942" s="6">
        <f>IF($G942="正常",$H942/60,"")</f>
        <v/>
      </c>
      <c r="J942" s="7">
        <f>IF($G942="正常",ROUND($H942/30,0)/2,"")</f>
        <v/>
      </c>
      <c r="K942" s="7">
        <f>IF($G942="正常",MIN($J942,12),"")</f>
        <v/>
      </c>
      <c r="L942" s="7">
        <f>IF($G942="正常",MAX($J942-12,0),"")</f>
        <v/>
      </c>
    </row>
    <row r="943">
      <c r="A943" s="3" t="inlineStr">
        <is>
          <t>杨泽菊</t>
        </is>
      </c>
      <c r="B943" s="3" t="inlineStr">
        <is>
          <t>8/12</t>
        </is>
      </c>
      <c r="C943" s="3" t="inlineStr">
        <is>
          <t>三</t>
        </is>
      </c>
      <c r="D943" s="3" t="inlineStr">
        <is>
          <t>09:26 18:35</t>
        </is>
      </c>
      <c r="E943" s="4" t="n">
        <v>0.3930555555555555</v>
      </c>
      <c r="F943" s="4" t="n">
        <v>0.7743055555555556</v>
      </c>
      <c r="G943" s="3">
        <f>IF($E943="","空卡",IF($F943="","单卡","正常"))</f>
        <v/>
      </c>
      <c r="H943" s="5">
        <f>IF($G943="正常",ROUND(($F943-$E943)*1440,0),"")</f>
        <v/>
      </c>
      <c r="I943" s="6">
        <f>IF($G943="正常",$H943/60,"")</f>
        <v/>
      </c>
      <c r="J943" s="7">
        <f>IF($G943="正常",ROUND($H943/30,0)/2,"")</f>
        <v/>
      </c>
      <c r="K943" s="7">
        <f>IF($G943="正常",MIN($J943,12),"")</f>
        <v/>
      </c>
      <c r="L943" s="7">
        <f>IF($G943="正常",MAX($J943-12,0),"")</f>
        <v/>
      </c>
    </row>
    <row r="944">
      <c r="A944" s="3" t="inlineStr">
        <is>
          <t>杨泽菊</t>
        </is>
      </c>
      <c r="B944" s="3" t="inlineStr">
        <is>
          <t>8/13</t>
        </is>
      </c>
      <c r="C944" s="3" t="inlineStr">
        <is>
          <t>四</t>
        </is>
      </c>
      <c r="D944" s="3" t="inlineStr">
        <is>
          <t>08:26 19:01</t>
        </is>
      </c>
      <c r="E944" s="4" t="n">
        <v>0.3513888888888889</v>
      </c>
      <c r="F944" s="4" t="n">
        <v>0.7923611111111111</v>
      </c>
      <c r="G944" s="3">
        <f>IF($E944="","空卡",IF($F944="","单卡","正常"))</f>
        <v/>
      </c>
      <c r="H944" s="5">
        <f>IF($G944="正常",ROUND(($F944-$E944)*1440,0),"")</f>
        <v/>
      </c>
      <c r="I944" s="6">
        <f>IF($G944="正常",$H944/60,"")</f>
        <v/>
      </c>
      <c r="J944" s="7">
        <f>IF($G944="正常",ROUND($H944/30,0)/2,"")</f>
        <v/>
      </c>
      <c r="K944" s="7">
        <f>IF($G944="正常",MIN($J944,12),"")</f>
        <v/>
      </c>
      <c r="L944" s="7">
        <f>IF($G944="正常",MAX($J944-12,0),"")</f>
        <v/>
      </c>
    </row>
    <row r="945">
      <c r="A945" s="3" t="inlineStr">
        <is>
          <t>杨泽菊</t>
        </is>
      </c>
      <c r="B945" s="3" t="inlineStr">
        <is>
          <t>8/14</t>
        </is>
      </c>
      <c r="C945" s="3" t="inlineStr">
        <is>
          <t>五</t>
        </is>
      </c>
      <c r="D945" s="3" t="inlineStr">
        <is>
          <t>08:28 20:55</t>
        </is>
      </c>
      <c r="E945" s="4" t="n">
        <v>0.3527777777777778</v>
      </c>
      <c r="F945" s="4" t="n">
        <v>0.8715277777777778</v>
      </c>
      <c r="G945" s="3">
        <f>IF($E945="","空卡",IF($F945="","单卡","正常"))</f>
        <v/>
      </c>
      <c r="H945" s="5">
        <f>IF($G945="正常",ROUND(($F945-$E945)*1440,0),"")</f>
        <v/>
      </c>
      <c r="I945" s="6">
        <f>IF($G945="正常",$H945/60,"")</f>
        <v/>
      </c>
      <c r="J945" s="7">
        <f>IF($G945="正常",ROUND($H945/30,0)/2,"")</f>
        <v/>
      </c>
      <c r="K945" s="7">
        <f>IF($G945="正常",MIN($J945,12),"")</f>
        <v/>
      </c>
      <c r="L945" s="7">
        <f>IF($G945="正常",MAX($J945-12,0),"")</f>
        <v/>
      </c>
    </row>
    <row r="946">
      <c r="A946" s="3" t="inlineStr">
        <is>
          <t>杨泽菊</t>
        </is>
      </c>
      <c r="B946" s="3" t="inlineStr">
        <is>
          <t>8/15</t>
        </is>
      </c>
      <c r="C946" s="3" t="inlineStr">
        <is>
          <t>六</t>
        </is>
      </c>
      <c r="D946" s="3" t="inlineStr">
        <is>
          <t>07:00 18:57</t>
        </is>
      </c>
      <c r="E946" s="4" t="n">
        <v>0.2916666666666667</v>
      </c>
      <c r="F946" s="4" t="n">
        <v>0.7895833333333333</v>
      </c>
      <c r="G946" s="3">
        <f>IF($E946="","空卡",IF($F946="","单卡","正常"))</f>
        <v/>
      </c>
      <c r="H946" s="5">
        <f>IF($G946="正常",ROUND(($F946-$E946)*1440,0),"")</f>
        <v/>
      </c>
      <c r="I946" s="6">
        <f>IF($G946="正常",$H946/60,"")</f>
        <v/>
      </c>
      <c r="J946" s="7">
        <f>IF($G946="正常",ROUND($H946/30,0)/2,"")</f>
        <v/>
      </c>
      <c r="K946" s="7">
        <f>IF($G946="正常",MIN($J946,12),"")</f>
        <v/>
      </c>
      <c r="L946" s="7">
        <f>IF($G946="正常",MAX($J946-12,0),"")</f>
        <v/>
      </c>
    </row>
    <row r="947">
      <c r="A947" s="8" t="inlineStr">
        <is>
          <t>杨泽菊</t>
        </is>
      </c>
      <c r="B947" s="8" t="inlineStr">
        <is>
          <t>8/16</t>
        </is>
      </c>
      <c r="C947" s="8" t="inlineStr">
        <is>
          <t>日</t>
        </is>
      </c>
      <c r="D947" s="8" t="inlineStr"/>
      <c r="E947" s="9" t="n"/>
      <c r="F947" s="9" t="n"/>
      <c r="G947" s="10">
        <f>IF($E947="","空卡",IF($F947="","单卡","正常"))</f>
        <v/>
      </c>
      <c r="H947" s="11">
        <f>IF($G947="正常",ROUND(($F947-$E947)*1440,0),"")</f>
        <v/>
      </c>
      <c r="I947" s="12">
        <f>IF($G947="正常",$H947/60,"")</f>
        <v/>
      </c>
      <c r="J947" s="13">
        <f>IF($G947="正常",ROUND($H947/30,0)/2,"")</f>
        <v/>
      </c>
      <c r="K947" s="13">
        <f>IF($G947="正常",MIN($J947,12),"")</f>
        <v/>
      </c>
      <c r="L947" s="13">
        <f>IF($G947="正常",MAX($J947-12,0),"")</f>
        <v/>
      </c>
    </row>
    <row r="948">
      <c r="A948" s="3" t="inlineStr">
        <is>
          <t>杨泽菊</t>
        </is>
      </c>
      <c r="B948" s="3" t="inlineStr">
        <is>
          <t>8/17</t>
        </is>
      </c>
      <c r="C948" s="3" t="inlineStr">
        <is>
          <t>一</t>
        </is>
      </c>
      <c r="D948" s="3" t="inlineStr">
        <is>
          <t>07:56 20:00</t>
        </is>
      </c>
      <c r="E948" s="4" t="n">
        <v>0.3305555555555555</v>
      </c>
      <c r="F948" s="4" t="n">
        <v>0.8333333333333334</v>
      </c>
      <c r="G948" s="3">
        <f>IF($E948="","空卡",IF($F948="","单卡","正常"))</f>
        <v/>
      </c>
      <c r="H948" s="5">
        <f>IF($G948="正常",ROUND(($F948-$E948)*1440,0),"")</f>
        <v/>
      </c>
      <c r="I948" s="6">
        <f>IF($G948="正常",$H948/60,"")</f>
        <v/>
      </c>
      <c r="J948" s="7">
        <f>IF($G948="正常",ROUND($H948/30,0)/2,"")</f>
        <v/>
      </c>
      <c r="K948" s="7">
        <f>IF($G948="正常",MIN($J948,12),"")</f>
        <v/>
      </c>
      <c r="L948" s="7">
        <f>IF($G948="正常",MAX($J948-12,0),"")</f>
        <v/>
      </c>
    </row>
    <row r="949">
      <c r="A949" s="3" t="inlineStr">
        <is>
          <t>杨泽菊</t>
        </is>
      </c>
      <c r="B949" s="3" t="inlineStr">
        <is>
          <t>8/18</t>
        </is>
      </c>
      <c r="C949" s="3" t="inlineStr">
        <is>
          <t>二</t>
        </is>
      </c>
      <c r="D949" s="3" t="inlineStr">
        <is>
          <t>07:57 18:56</t>
        </is>
      </c>
      <c r="E949" s="4" t="n">
        <v>0.33125</v>
      </c>
      <c r="F949" s="4" t="n">
        <v>0.7888888888888889</v>
      </c>
      <c r="G949" s="3">
        <f>IF($E949="","空卡",IF($F949="","单卡","正常"))</f>
        <v/>
      </c>
      <c r="H949" s="5">
        <f>IF($G949="正常",ROUND(($F949-$E949)*1440,0),"")</f>
        <v/>
      </c>
      <c r="I949" s="6">
        <f>IF($G949="正常",$H949/60,"")</f>
        <v/>
      </c>
      <c r="J949" s="7">
        <f>IF($G949="正常",ROUND($H949/30,0)/2,"")</f>
        <v/>
      </c>
      <c r="K949" s="7">
        <f>IF($G949="正常",MIN($J949,12),"")</f>
        <v/>
      </c>
      <c r="L949" s="7">
        <f>IF($G949="正常",MAX($J949-12,0),"")</f>
        <v/>
      </c>
    </row>
    <row r="950">
      <c r="A950" s="3" t="inlineStr">
        <is>
          <t>杨泽菊</t>
        </is>
      </c>
      <c r="B950" s="3" t="inlineStr">
        <is>
          <t>8/19</t>
        </is>
      </c>
      <c r="C950" s="3" t="inlineStr">
        <is>
          <t>三</t>
        </is>
      </c>
      <c r="D950" s="3" t="inlineStr">
        <is>
          <t>07:25 20:30</t>
        </is>
      </c>
      <c r="E950" s="4" t="n">
        <v>0.3090277777777778</v>
      </c>
      <c r="F950" s="4" t="n">
        <v>0.8541666666666666</v>
      </c>
      <c r="G950" s="3">
        <f>IF($E950="","空卡",IF($F950="","单卡","正常"))</f>
        <v/>
      </c>
      <c r="H950" s="5">
        <f>IF($G950="正常",ROUND(($F950-$E950)*1440,0),"")</f>
        <v/>
      </c>
      <c r="I950" s="6">
        <f>IF($G950="正常",$H950/60,"")</f>
        <v/>
      </c>
      <c r="J950" s="7">
        <f>IF($G950="正常",ROUND($H950/30,0)/2,"")</f>
        <v/>
      </c>
      <c r="K950" s="7">
        <f>IF($G950="正常",MIN($J950,12),"")</f>
        <v/>
      </c>
      <c r="L950" s="7">
        <f>IF($G950="正常",MAX($J950-12,0),"")</f>
        <v/>
      </c>
    </row>
    <row r="951">
      <c r="A951" s="8" t="inlineStr">
        <is>
          <t>杨泽菊</t>
        </is>
      </c>
      <c r="B951" s="8" t="inlineStr">
        <is>
          <t>8/20</t>
        </is>
      </c>
      <c r="C951" s="8" t="inlineStr">
        <is>
          <t>四</t>
        </is>
      </c>
      <c r="D951" s="8" t="inlineStr"/>
      <c r="E951" s="9" t="n"/>
      <c r="F951" s="9" t="n"/>
      <c r="G951" s="10">
        <f>IF($E951="","空卡",IF($F951="","单卡","正常"))</f>
        <v/>
      </c>
      <c r="H951" s="11">
        <f>IF($G951="正常",ROUND(($F951-$E951)*1440,0),"")</f>
        <v/>
      </c>
      <c r="I951" s="12">
        <f>IF($G951="正常",$H951/60,"")</f>
        <v/>
      </c>
      <c r="J951" s="13">
        <f>IF($G951="正常",ROUND($H951/30,0)/2,"")</f>
        <v/>
      </c>
      <c r="K951" s="13">
        <f>IF($G951="正常",MIN($J951,12),"")</f>
        <v/>
      </c>
      <c r="L951" s="13">
        <f>IF($G951="正常",MAX($J951-12,0),"")</f>
        <v/>
      </c>
    </row>
    <row r="952">
      <c r="A952" s="3" t="inlineStr">
        <is>
          <t>杨泽菊</t>
        </is>
      </c>
      <c r="B952" s="3" t="inlineStr">
        <is>
          <t>8/21</t>
        </is>
      </c>
      <c r="C952" s="3" t="inlineStr">
        <is>
          <t>五</t>
        </is>
      </c>
      <c r="D952" s="3" t="inlineStr">
        <is>
          <t>06:57 19:02</t>
        </is>
      </c>
      <c r="E952" s="4" t="n">
        <v>0.2895833333333334</v>
      </c>
      <c r="F952" s="4" t="n">
        <v>0.7930555555555555</v>
      </c>
      <c r="G952" s="3">
        <f>IF($E952="","空卡",IF($F952="","单卡","正常"))</f>
        <v/>
      </c>
      <c r="H952" s="5">
        <f>IF($G952="正常",ROUND(($F952-$E952)*1440,0),"")</f>
        <v/>
      </c>
      <c r="I952" s="6">
        <f>IF($G952="正常",$H952/60,"")</f>
        <v/>
      </c>
      <c r="J952" s="7">
        <f>IF($G952="正常",ROUND($H952/30,0)/2,"")</f>
        <v/>
      </c>
      <c r="K952" s="7">
        <f>IF($G952="正常",MIN($J952,12),"")</f>
        <v/>
      </c>
      <c r="L952" s="7">
        <f>IF($G952="正常",MAX($J952-12,0),"")</f>
        <v/>
      </c>
    </row>
    <row r="953">
      <c r="A953" s="3" t="inlineStr">
        <is>
          <t>杨泽菊</t>
        </is>
      </c>
      <c r="B953" s="3" t="inlineStr">
        <is>
          <t>8/22</t>
        </is>
      </c>
      <c r="C953" s="3" t="inlineStr">
        <is>
          <t>六</t>
        </is>
      </c>
      <c r="D953" s="3" t="inlineStr">
        <is>
          <t>06:57 18:31</t>
        </is>
      </c>
      <c r="E953" s="4" t="n">
        <v>0.2895833333333334</v>
      </c>
      <c r="F953" s="4" t="n">
        <v>0.7715277777777778</v>
      </c>
      <c r="G953" s="3">
        <f>IF($E953="","空卡",IF($F953="","单卡","正常"))</f>
        <v/>
      </c>
      <c r="H953" s="5">
        <f>IF($G953="正常",ROUND(($F953-$E953)*1440,0),"")</f>
        <v/>
      </c>
      <c r="I953" s="6">
        <f>IF($G953="正常",$H953/60,"")</f>
        <v/>
      </c>
      <c r="J953" s="7">
        <f>IF($G953="正常",ROUND($H953/30,0)/2,"")</f>
        <v/>
      </c>
      <c r="K953" s="7">
        <f>IF($G953="正常",MIN($J953,12),"")</f>
        <v/>
      </c>
      <c r="L953" s="7">
        <f>IF($G953="正常",MAX($J953-12,0),"")</f>
        <v/>
      </c>
    </row>
    <row r="954">
      <c r="A954" s="8" t="inlineStr">
        <is>
          <t>杨泽菊</t>
        </is>
      </c>
      <c r="B954" s="8" t="inlineStr">
        <is>
          <t>8/23</t>
        </is>
      </c>
      <c r="C954" s="8" t="inlineStr">
        <is>
          <t>日</t>
        </is>
      </c>
      <c r="D954" s="8" t="inlineStr"/>
      <c r="E954" s="9" t="n"/>
      <c r="F954" s="9" t="n"/>
      <c r="G954" s="10">
        <f>IF($E954="","空卡",IF($F954="","单卡","正常"))</f>
        <v/>
      </c>
      <c r="H954" s="11">
        <f>IF($G954="正常",ROUND(($F954-$E954)*1440,0),"")</f>
        <v/>
      </c>
      <c r="I954" s="12">
        <f>IF($G954="正常",$H954/60,"")</f>
        <v/>
      </c>
      <c r="J954" s="13">
        <f>IF($G954="正常",ROUND($H954/30,0)/2,"")</f>
        <v/>
      </c>
      <c r="K954" s="13">
        <f>IF($G954="正常",MIN($J954,12),"")</f>
        <v/>
      </c>
      <c r="L954" s="13">
        <f>IF($G954="正常",MAX($J954-12,0),"")</f>
        <v/>
      </c>
    </row>
    <row r="955">
      <c r="A955" s="3" t="inlineStr">
        <is>
          <t>杨泽菊</t>
        </is>
      </c>
      <c r="B955" s="3" t="inlineStr">
        <is>
          <t>8/24</t>
        </is>
      </c>
      <c r="C955" s="3" t="inlineStr">
        <is>
          <t>一</t>
        </is>
      </c>
      <c r="D955" s="3" t="inlineStr">
        <is>
          <t>06:55 16:37</t>
        </is>
      </c>
      <c r="E955" s="4" t="n">
        <v>0.2881944444444444</v>
      </c>
      <c r="F955" s="4" t="n">
        <v>0.6923611111111111</v>
      </c>
      <c r="G955" s="3">
        <f>IF($E955="","空卡",IF($F955="","单卡","正常"))</f>
        <v/>
      </c>
      <c r="H955" s="5">
        <f>IF($G955="正常",ROUND(($F955-$E955)*1440,0),"")</f>
        <v/>
      </c>
      <c r="I955" s="6">
        <f>IF($G955="正常",$H955/60,"")</f>
        <v/>
      </c>
      <c r="J955" s="7">
        <f>IF($G955="正常",ROUND($H955/30,0)/2,"")</f>
        <v/>
      </c>
      <c r="K955" s="7">
        <f>IF($G955="正常",MIN($J955,12),"")</f>
        <v/>
      </c>
      <c r="L955" s="7">
        <f>IF($G955="正常",MAX($J955-12,0),"")</f>
        <v/>
      </c>
    </row>
    <row r="956">
      <c r="A956" s="3" t="inlineStr">
        <is>
          <t>杨泽菊</t>
        </is>
      </c>
      <c r="B956" s="3" t="inlineStr">
        <is>
          <t>8/25</t>
        </is>
      </c>
      <c r="C956" s="3" t="inlineStr">
        <is>
          <t>二</t>
        </is>
      </c>
      <c r="D956" s="3" t="inlineStr">
        <is>
          <t>08:52 18:38</t>
        </is>
      </c>
      <c r="E956" s="4" t="n">
        <v>0.3694444444444445</v>
      </c>
      <c r="F956" s="4" t="n">
        <v>0.7763888888888889</v>
      </c>
      <c r="G956" s="3">
        <f>IF($E956="","空卡",IF($F956="","单卡","正常"))</f>
        <v/>
      </c>
      <c r="H956" s="5">
        <f>IF($G956="正常",ROUND(($F956-$E956)*1440,0),"")</f>
        <v/>
      </c>
      <c r="I956" s="6">
        <f>IF($G956="正常",$H956/60,"")</f>
        <v/>
      </c>
      <c r="J956" s="7">
        <f>IF($G956="正常",ROUND($H956/30,0)/2,"")</f>
        <v/>
      </c>
      <c r="K956" s="7">
        <f>IF($G956="正常",MIN($J956,12),"")</f>
        <v/>
      </c>
      <c r="L956" s="7">
        <f>IF($G956="正常",MAX($J956-12,0),"")</f>
        <v/>
      </c>
    </row>
    <row r="957">
      <c r="A957" s="3" t="inlineStr">
        <is>
          <t>杨泽菊</t>
        </is>
      </c>
      <c r="B957" s="3" t="inlineStr">
        <is>
          <t>8/26</t>
        </is>
      </c>
      <c r="C957" s="3" t="inlineStr">
        <is>
          <t>三</t>
        </is>
      </c>
      <c r="D957" s="3" t="inlineStr">
        <is>
          <t>07:52 18:56</t>
        </is>
      </c>
      <c r="E957" s="4" t="n">
        <v>0.3277777777777778</v>
      </c>
      <c r="F957" s="4" t="n">
        <v>0.7888888888888889</v>
      </c>
      <c r="G957" s="3">
        <f>IF($E957="","空卡",IF($F957="","单卡","正常"))</f>
        <v/>
      </c>
      <c r="H957" s="5">
        <f>IF($G957="正常",ROUND(($F957-$E957)*1440,0),"")</f>
        <v/>
      </c>
      <c r="I957" s="6">
        <f>IF($G957="正常",$H957/60,"")</f>
        <v/>
      </c>
      <c r="J957" s="7">
        <f>IF($G957="正常",ROUND($H957/30,0)/2,"")</f>
        <v/>
      </c>
      <c r="K957" s="7">
        <f>IF($G957="正常",MIN($J957,12),"")</f>
        <v/>
      </c>
      <c r="L957" s="7">
        <f>IF($G957="正常",MAX($J957-12,0),"")</f>
        <v/>
      </c>
    </row>
    <row r="958">
      <c r="A958" s="3" t="inlineStr">
        <is>
          <t>杨泽菊</t>
        </is>
      </c>
      <c r="B958" s="3" t="inlineStr">
        <is>
          <t>8/27</t>
        </is>
      </c>
      <c r="C958" s="3" t="inlineStr">
        <is>
          <t>四</t>
        </is>
      </c>
      <c r="D958" s="3" t="inlineStr">
        <is>
          <t>07:55 19:04</t>
        </is>
      </c>
      <c r="E958" s="4" t="n">
        <v>0.3298611111111111</v>
      </c>
      <c r="F958" s="4" t="n">
        <v>0.7944444444444444</v>
      </c>
      <c r="G958" s="3">
        <f>IF($E958="","空卡",IF($F958="","单卡","正常"))</f>
        <v/>
      </c>
      <c r="H958" s="5">
        <f>IF($G958="正常",ROUND(($F958-$E958)*1440,0),"")</f>
        <v/>
      </c>
      <c r="I958" s="6">
        <f>IF($G958="正常",$H958/60,"")</f>
        <v/>
      </c>
      <c r="J958" s="7">
        <f>IF($G958="正常",ROUND($H958/30,0)/2,"")</f>
        <v/>
      </c>
      <c r="K958" s="7">
        <f>IF($G958="正常",MIN($J958,12),"")</f>
        <v/>
      </c>
      <c r="L958" s="7">
        <f>IF($G958="正常",MAX($J958-12,0),"")</f>
        <v/>
      </c>
    </row>
    <row r="959">
      <c r="A959" s="3" t="inlineStr">
        <is>
          <t>杨泽菊</t>
        </is>
      </c>
      <c r="B959" s="3" t="inlineStr">
        <is>
          <t>8/28</t>
        </is>
      </c>
      <c r="C959" s="3" t="inlineStr">
        <is>
          <t>五</t>
        </is>
      </c>
      <c r="D959" s="3" t="inlineStr">
        <is>
          <t>07:57 18:30</t>
        </is>
      </c>
      <c r="E959" s="4" t="n">
        <v>0.33125</v>
      </c>
      <c r="F959" s="4" t="n">
        <v>0.7708333333333334</v>
      </c>
      <c r="G959" s="3">
        <f>IF($E959="","空卡",IF($F959="","单卡","正常"))</f>
        <v/>
      </c>
      <c r="H959" s="5">
        <f>IF($G959="正常",ROUND(($F959-$E959)*1440,0),"")</f>
        <v/>
      </c>
      <c r="I959" s="6">
        <f>IF($G959="正常",$H959/60,"")</f>
        <v/>
      </c>
      <c r="J959" s="7">
        <f>IF($G959="正常",ROUND($H959/30,0)/2,"")</f>
        <v/>
      </c>
      <c r="K959" s="7">
        <f>IF($G959="正常",MIN($J959,12),"")</f>
        <v/>
      </c>
      <c r="L959" s="7">
        <f>IF($G959="正常",MAX($J959-12,0),"")</f>
        <v/>
      </c>
    </row>
    <row r="960">
      <c r="A960" s="3" t="inlineStr">
        <is>
          <t>杨泽菊</t>
        </is>
      </c>
      <c r="B960" s="3" t="inlineStr">
        <is>
          <t>8/29</t>
        </is>
      </c>
      <c r="C960" s="3" t="inlineStr">
        <is>
          <t>六</t>
        </is>
      </c>
      <c r="D960" s="3" t="inlineStr">
        <is>
          <t>07:55 21:59</t>
        </is>
      </c>
      <c r="E960" s="4" t="n">
        <v>0.3298611111111111</v>
      </c>
      <c r="F960" s="4" t="n">
        <v>0.9159722222222222</v>
      </c>
      <c r="G960" s="3">
        <f>IF($E960="","空卡",IF($F960="","单卡","正常"))</f>
        <v/>
      </c>
      <c r="H960" s="5">
        <f>IF($G960="正常",ROUND(($F960-$E960)*1440,0),"")</f>
        <v/>
      </c>
      <c r="I960" s="6">
        <f>IF($G960="正常",$H960/60,"")</f>
        <v/>
      </c>
      <c r="J960" s="7">
        <f>IF($G960="正常",ROUND($H960/30,0)/2,"")</f>
        <v/>
      </c>
      <c r="K960" s="7">
        <f>IF($G960="正常",MIN($J960,12),"")</f>
        <v/>
      </c>
      <c r="L960" s="7">
        <f>IF($G960="正常",MAX($J960-12,0),"")</f>
        <v/>
      </c>
    </row>
    <row r="961">
      <c r="A961" s="3" t="inlineStr">
        <is>
          <t>杨泽菊</t>
        </is>
      </c>
      <c r="B961" s="3" t="inlineStr">
        <is>
          <t>8/30</t>
        </is>
      </c>
      <c r="C961" s="3" t="inlineStr">
        <is>
          <t>日</t>
        </is>
      </c>
      <c r="D961" s="3" t="inlineStr">
        <is>
          <t>07:52 18:45</t>
        </is>
      </c>
      <c r="E961" s="4" t="n">
        <v>0.3277777777777778</v>
      </c>
      <c r="F961" s="4" t="n">
        <v>0.78125</v>
      </c>
      <c r="G961" s="3">
        <f>IF($E961="","空卡",IF($F961="","单卡","正常"))</f>
        <v/>
      </c>
      <c r="H961" s="5">
        <f>IF($G961="正常",ROUND(($F961-$E961)*1440,0),"")</f>
        <v/>
      </c>
      <c r="I961" s="6">
        <f>IF($G961="正常",$H961/60,"")</f>
        <v/>
      </c>
      <c r="J961" s="7">
        <f>IF($G961="正常",ROUND($H961/30,0)/2,"")</f>
        <v/>
      </c>
      <c r="K961" s="7">
        <f>IF($G961="正常",MIN($J961,12),"")</f>
        <v/>
      </c>
      <c r="L961" s="7">
        <f>IF($G961="正常",MAX($J961-12,0),"")</f>
        <v/>
      </c>
    </row>
    <row r="962">
      <c r="A962" s="8" t="inlineStr">
        <is>
          <t>杨泽菊</t>
        </is>
      </c>
      <c r="B962" s="8" t="inlineStr">
        <is>
          <t>8/31</t>
        </is>
      </c>
      <c r="C962" s="8" t="inlineStr">
        <is>
          <t>一</t>
        </is>
      </c>
      <c r="D962" s="8" t="inlineStr"/>
      <c r="E962" s="9" t="n"/>
      <c r="F962" s="9" t="n"/>
      <c r="G962" s="10">
        <f>IF($E962="","空卡",IF($F962="","单卡","正常"))</f>
        <v/>
      </c>
      <c r="H962" s="11">
        <f>IF($G962="正常",ROUND(($F962-$E962)*1440,0),"")</f>
        <v/>
      </c>
      <c r="I962" s="12">
        <f>IF($G962="正常",$H962/60,"")</f>
        <v/>
      </c>
      <c r="J962" s="13">
        <f>IF($G962="正常",ROUND($H962/30,0)/2,"")</f>
        <v/>
      </c>
      <c r="K962" s="13">
        <f>IF($G962="正常",MIN($J962,12),"")</f>
        <v/>
      </c>
      <c r="L962" s="13">
        <f>IF($G962="正常",MAX($J962-12,0),"")</f>
        <v/>
      </c>
    </row>
    <row r="963">
      <c r="A963" s="3" t="inlineStr">
        <is>
          <t>张恩兵</t>
        </is>
      </c>
      <c r="B963" s="3" t="inlineStr">
        <is>
          <t>8/1</t>
        </is>
      </c>
      <c r="C963" s="3" t="inlineStr">
        <is>
          <t>六</t>
        </is>
      </c>
      <c r="D963" s="3" t="inlineStr">
        <is>
          <t>07:46 18:14</t>
        </is>
      </c>
      <c r="E963" s="4" t="n">
        <v>0.3236111111111111</v>
      </c>
      <c r="F963" s="4" t="n">
        <v>0.7597222222222222</v>
      </c>
      <c r="G963" s="3">
        <f>IF($E963="","空卡",IF($F963="","单卡","正常"))</f>
        <v/>
      </c>
      <c r="H963" s="5">
        <f>IF($G963="正常",ROUND(($F963-$E963)*1440,0),"")</f>
        <v/>
      </c>
      <c r="I963" s="6">
        <f>IF($G963="正常",$H963/60,"")</f>
        <v/>
      </c>
      <c r="J963" s="7">
        <f>IF($G963="正常",ROUND($H963/30,0)/2,"")</f>
        <v/>
      </c>
      <c r="K963" s="7">
        <f>IF($G963="正常",MIN($J963,12),"")</f>
        <v/>
      </c>
      <c r="L963" s="7">
        <f>IF($G963="正常",MAX($J963-12,0),"")</f>
        <v/>
      </c>
    </row>
    <row r="964">
      <c r="A964" s="3" t="inlineStr">
        <is>
          <t>张恩兵</t>
        </is>
      </c>
      <c r="B964" s="3" t="inlineStr">
        <is>
          <t>8/2</t>
        </is>
      </c>
      <c r="C964" s="3" t="inlineStr">
        <is>
          <t>日</t>
        </is>
      </c>
      <c r="D964" s="3" t="inlineStr">
        <is>
          <t>07:55 14:59</t>
        </is>
      </c>
      <c r="E964" s="4" t="n">
        <v>0.3298611111111111</v>
      </c>
      <c r="F964" s="4" t="n">
        <v>0.6243055555555556</v>
      </c>
      <c r="G964" s="3">
        <f>IF($E964="","空卡",IF($F964="","单卡","正常"))</f>
        <v/>
      </c>
      <c r="H964" s="5">
        <f>IF($G964="正常",ROUND(($F964-$E964)*1440,0),"")</f>
        <v/>
      </c>
      <c r="I964" s="6">
        <f>IF($G964="正常",$H964/60,"")</f>
        <v/>
      </c>
      <c r="J964" s="7">
        <f>IF($G964="正常",ROUND($H964/30,0)/2,"")</f>
        <v/>
      </c>
      <c r="K964" s="7">
        <f>IF($G964="正常",MIN($J964,12),"")</f>
        <v/>
      </c>
      <c r="L964" s="7">
        <f>IF($G964="正常",MAX($J964-12,0),"")</f>
        <v/>
      </c>
    </row>
    <row r="965">
      <c r="A965" s="3" t="inlineStr">
        <is>
          <t>张恩兵</t>
        </is>
      </c>
      <c r="B965" s="3" t="inlineStr">
        <is>
          <t>8/3</t>
        </is>
      </c>
      <c r="C965" s="3" t="inlineStr">
        <is>
          <t>一</t>
        </is>
      </c>
      <c r="D965" s="3" t="inlineStr">
        <is>
          <t>08:18 15:31</t>
        </is>
      </c>
      <c r="E965" s="4" t="n">
        <v>0.3458333333333333</v>
      </c>
      <c r="F965" s="4" t="n">
        <v>0.6465277777777778</v>
      </c>
      <c r="G965" s="3">
        <f>IF($E965="","空卡",IF($F965="","单卡","正常"))</f>
        <v/>
      </c>
      <c r="H965" s="5">
        <f>IF($G965="正常",ROUND(($F965-$E965)*1440,0),"")</f>
        <v/>
      </c>
      <c r="I965" s="6">
        <f>IF($G965="正常",$H965/60,"")</f>
        <v/>
      </c>
      <c r="J965" s="7">
        <f>IF($G965="正常",ROUND($H965/30,0)/2,"")</f>
        <v/>
      </c>
      <c r="K965" s="7">
        <f>IF($G965="正常",MIN($J965,12),"")</f>
        <v/>
      </c>
      <c r="L965" s="7">
        <f>IF($G965="正常",MAX($J965-12,0),"")</f>
        <v/>
      </c>
    </row>
    <row r="966">
      <c r="A966" s="3" t="inlineStr">
        <is>
          <t>张恩兵</t>
        </is>
      </c>
      <c r="B966" s="3" t="inlineStr">
        <is>
          <t>8/4</t>
        </is>
      </c>
      <c r="C966" s="3" t="inlineStr">
        <is>
          <t>二</t>
        </is>
      </c>
      <c r="D966" s="3" t="inlineStr">
        <is>
          <t>08:38 19:32</t>
        </is>
      </c>
      <c r="E966" s="4" t="n">
        <v>0.3597222222222222</v>
      </c>
      <c r="F966" s="4" t="n">
        <v>0.8138888888888889</v>
      </c>
      <c r="G966" s="3">
        <f>IF($E966="","空卡",IF($F966="","单卡","正常"))</f>
        <v/>
      </c>
      <c r="H966" s="5">
        <f>IF($G966="正常",ROUND(($F966-$E966)*1440,0),"")</f>
        <v/>
      </c>
      <c r="I966" s="6">
        <f>IF($G966="正常",$H966/60,"")</f>
        <v/>
      </c>
      <c r="J966" s="7">
        <f>IF($G966="正常",ROUND($H966/30,0)/2,"")</f>
        <v/>
      </c>
      <c r="K966" s="7">
        <f>IF($G966="正常",MIN($J966,12),"")</f>
        <v/>
      </c>
      <c r="L966" s="7">
        <f>IF($G966="正常",MAX($J966-12,0),"")</f>
        <v/>
      </c>
    </row>
    <row r="967">
      <c r="A967" s="3" t="inlineStr">
        <is>
          <t>张恩兵</t>
        </is>
      </c>
      <c r="B967" s="3" t="inlineStr">
        <is>
          <t>8/5</t>
        </is>
      </c>
      <c r="C967" s="3" t="inlineStr">
        <is>
          <t>三</t>
        </is>
      </c>
      <c r="D967" s="3" t="inlineStr">
        <is>
          <t>09:33 16:59</t>
        </is>
      </c>
      <c r="E967" s="4" t="n">
        <v>0.3979166666666666</v>
      </c>
      <c r="F967" s="4" t="n">
        <v>0.7076388888888889</v>
      </c>
      <c r="G967" s="3">
        <f>IF($E967="","空卡",IF($F967="","单卡","正常"))</f>
        <v/>
      </c>
      <c r="H967" s="5">
        <f>IF($G967="正常",ROUND(($F967-$E967)*1440,0),"")</f>
        <v/>
      </c>
      <c r="I967" s="6">
        <f>IF($G967="正常",$H967/60,"")</f>
        <v/>
      </c>
      <c r="J967" s="7">
        <f>IF($G967="正常",ROUND($H967/30,0)/2,"")</f>
        <v/>
      </c>
      <c r="K967" s="7">
        <f>IF($G967="正常",MIN($J967,12),"")</f>
        <v/>
      </c>
      <c r="L967" s="7">
        <f>IF($G967="正常",MAX($J967-12,0),"")</f>
        <v/>
      </c>
    </row>
    <row r="968">
      <c r="A968" s="3" t="inlineStr">
        <is>
          <t>张恩兵</t>
        </is>
      </c>
      <c r="B968" s="3" t="inlineStr">
        <is>
          <t>8/6</t>
        </is>
      </c>
      <c r="C968" s="3" t="inlineStr">
        <is>
          <t>四</t>
        </is>
      </c>
      <c r="D968" s="3" t="inlineStr">
        <is>
          <t>08:50 19:00</t>
        </is>
      </c>
      <c r="E968" s="4" t="n">
        <v>0.3680555555555556</v>
      </c>
      <c r="F968" s="4" t="n">
        <v>0.7916666666666666</v>
      </c>
      <c r="G968" s="3">
        <f>IF($E968="","空卡",IF($F968="","单卡","正常"))</f>
        <v/>
      </c>
      <c r="H968" s="5">
        <f>IF($G968="正常",ROUND(($F968-$E968)*1440,0),"")</f>
        <v/>
      </c>
      <c r="I968" s="6">
        <f>IF($G968="正常",$H968/60,"")</f>
        <v/>
      </c>
      <c r="J968" s="7">
        <f>IF($G968="正常",ROUND($H968/30,0)/2,"")</f>
        <v/>
      </c>
      <c r="K968" s="7">
        <f>IF($G968="正常",MIN($J968,12),"")</f>
        <v/>
      </c>
      <c r="L968" s="7">
        <f>IF($G968="正常",MAX($J968-12,0),"")</f>
        <v/>
      </c>
    </row>
    <row r="969">
      <c r="A969" s="3" t="inlineStr">
        <is>
          <t>张恩兵</t>
        </is>
      </c>
      <c r="B969" s="3" t="inlineStr">
        <is>
          <t>8/7</t>
        </is>
      </c>
      <c r="C969" s="3" t="inlineStr">
        <is>
          <t>五</t>
        </is>
      </c>
      <c r="D969" s="3" t="inlineStr">
        <is>
          <t>07:53 19:30</t>
        </is>
      </c>
      <c r="E969" s="4" t="n">
        <v>0.3284722222222222</v>
      </c>
      <c r="F969" s="4" t="n">
        <v>0.8125</v>
      </c>
      <c r="G969" s="3">
        <f>IF($E969="","空卡",IF($F969="","单卡","正常"))</f>
        <v/>
      </c>
      <c r="H969" s="5">
        <f>IF($G969="正常",ROUND(($F969-$E969)*1440,0),"")</f>
        <v/>
      </c>
      <c r="I969" s="6">
        <f>IF($G969="正常",$H969/60,"")</f>
        <v/>
      </c>
      <c r="J969" s="7">
        <f>IF($G969="正常",ROUND($H969/30,0)/2,"")</f>
        <v/>
      </c>
      <c r="K969" s="7">
        <f>IF($G969="正常",MIN($J969,12),"")</f>
        <v/>
      </c>
      <c r="L969" s="7">
        <f>IF($G969="正常",MAX($J969-12,0),"")</f>
        <v/>
      </c>
    </row>
    <row r="970">
      <c r="A970" s="3" t="inlineStr">
        <is>
          <t>张恩兵</t>
        </is>
      </c>
      <c r="B970" s="3" t="inlineStr">
        <is>
          <t>8/8</t>
        </is>
      </c>
      <c r="C970" s="3" t="inlineStr">
        <is>
          <t>六</t>
        </is>
      </c>
      <c r="D970" s="3" t="inlineStr">
        <is>
          <t>08:21 19:02</t>
        </is>
      </c>
      <c r="E970" s="4" t="n">
        <v>0.3479166666666667</v>
      </c>
      <c r="F970" s="4" t="n">
        <v>0.7930555555555555</v>
      </c>
      <c r="G970" s="3">
        <f>IF($E970="","空卡",IF($F970="","单卡","正常"))</f>
        <v/>
      </c>
      <c r="H970" s="5">
        <f>IF($G970="正常",ROUND(($F970-$E970)*1440,0),"")</f>
        <v/>
      </c>
      <c r="I970" s="6">
        <f>IF($G970="正常",$H970/60,"")</f>
        <v/>
      </c>
      <c r="J970" s="7">
        <f>IF($G970="正常",ROUND($H970/30,0)/2,"")</f>
        <v/>
      </c>
      <c r="K970" s="7">
        <f>IF($G970="正常",MIN($J970,12),"")</f>
        <v/>
      </c>
      <c r="L970" s="7">
        <f>IF($G970="正常",MAX($J970-12,0),"")</f>
        <v/>
      </c>
    </row>
    <row r="971">
      <c r="A971" s="8" t="inlineStr">
        <is>
          <t>张恩兵</t>
        </is>
      </c>
      <c r="B971" s="8" t="inlineStr">
        <is>
          <t>8/9</t>
        </is>
      </c>
      <c r="C971" s="8" t="inlineStr">
        <is>
          <t>日</t>
        </is>
      </c>
      <c r="D971" s="8" t="inlineStr"/>
      <c r="E971" s="9" t="n"/>
      <c r="F971" s="9" t="n"/>
      <c r="G971" s="10">
        <f>IF($E971="","空卡",IF($F971="","单卡","正常"))</f>
        <v/>
      </c>
      <c r="H971" s="11">
        <f>IF($G971="正常",ROUND(($F971-$E971)*1440,0),"")</f>
        <v/>
      </c>
      <c r="I971" s="12">
        <f>IF($G971="正常",$H971/60,"")</f>
        <v/>
      </c>
      <c r="J971" s="13">
        <f>IF($G971="正常",ROUND($H971/30,0)/2,"")</f>
        <v/>
      </c>
      <c r="K971" s="13">
        <f>IF($G971="正常",MIN($J971,12),"")</f>
        <v/>
      </c>
      <c r="L971" s="13">
        <f>IF($G971="正常",MAX($J971-12,0),"")</f>
        <v/>
      </c>
    </row>
    <row r="972">
      <c r="A972" s="3" t="inlineStr">
        <is>
          <t>张恩兵</t>
        </is>
      </c>
      <c r="B972" s="3" t="inlineStr">
        <is>
          <t>8/10</t>
        </is>
      </c>
      <c r="C972" s="3" t="inlineStr">
        <is>
          <t>一</t>
        </is>
      </c>
      <c r="D972" s="3" t="inlineStr">
        <is>
          <t>08:17 19:02</t>
        </is>
      </c>
      <c r="E972" s="4" t="n">
        <v>0.3451388888888889</v>
      </c>
      <c r="F972" s="4" t="n">
        <v>0.7930555555555555</v>
      </c>
      <c r="G972" s="3">
        <f>IF($E972="","空卡",IF($F972="","单卡","正常"))</f>
        <v/>
      </c>
      <c r="H972" s="5">
        <f>IF($G972="正常",ROUND(($F972-$E972)*1440,0),"")</f>
        <v/>
      </c>
      <c r="I972" s="6">
        <f>IF($G972="正常",$H972/60,"")</f>
        <v/>
      </c>
      <c r="J972" s="7">
        <f>IF($G972="正常",ROUND($H972/30,0)/2,"")</f>
        <v/>
      </c>
      <c r="K972" s="7">
        <f>IF($G972="正常",MIN($J972,12),"")</f>
        <v/>
      </c>
      <c r="L972" s="7">
        <f>IF($G972="正常",MAX($J972-12,0),"")</f>
        <v/>
      </c>
    </row>
    <row r="973">
      <c r="A973" s="3" t="inlineStr">
        <is>
          <t>张恩兵</t>
        </is>
      </c>
      <c r="B973" s="3" t="inlineStr">
        <is>
          <t>8/11</t>
        </is>
      </c>
      <c r="C973" s="3" t="inlineStr">
        <is>
          <t>二</t>
        </is>
      </c>
      <c r="D973" s="3" t="inlineStr">
        <is>
          <t>08:16 18:07</t>
        </is>
      </c>
      <c r="E973" s="4" t="n">
        <v>0.3444444444444444</v>
      </c>
      <c r="F973" s="4" t="n">
        <v>0.7548611111111111</v>
      </c>
      <c r="G973" s="3">
        <f>IF($E973="","空卡",IF($F973="","单卡","正常"))</f>
        <v/>
      </c>
      <c r="H973" s="5">
        <f>IF($G973="正常",ROUND(($F973-$E973)*1440,0),"")</f>
        <v/>
      </c>
      <c r="I973" s="6">
        <f>IF($G973="正常",$H973/60,"")</f>
        <v/>
      </c>
      <c r="J973" s="7">
        <f>IF($G973="正常",ROUND($H973/30,0)/2,"")</f>
        <v/>
      </c>
      <c r="K973" s="7">
        <f>IF($G973="正常",MIN($J973,12),"")</f>
        <v/>
      </c>
      <c r="L973" s="7">
        <f>IF($G973="正常",MAX($J973-12,0),"")</f>
        <v/>
      </c>
    </row>
    <row r="974">
      <c r="A974" s="3" t="inlineStr">
        <is>
          <t>张恩兵</t>
        </is>
      </c>
      <c r="B974" s="3" t="inlineStr">
        <is>
          <t>8/12</t>
        </is>
      </c>
      <c r="C974" s="3" t="inlineStr">
        <is>
          <t>三</t>
        </is>
      </c>
      <c r="D974" s="3" t="inlineStr">
        <is>
          <t>09:47 18:43</t>
        </is>
      </c>
      <c r="E974" s="4" t="n">
        <v>0.4076388888888889</v>
      </c>
      <c r="F974" s="4" t="n">
        <v>0.7798611111111111</v>
      </c>
      <c r="G974" s="3">
        <f>IF($E974="","空卡",IF($F974="","单卡","正常"))</f>
        <v/>
      </c>
      <c r="H974" s="5">
        <f>IF($G974="正常",ROUND(($F974-$E974)*1440,0),"")</f>
        <v/>
      </c>
      <c r="I974" s="6">
        <f>IF($G974="正常",$H974/60,"")</f>
        <v/>
      </c>
      <c r="J974" s="7">
        <f>IF($G974="正常",ROUND($H974/30,0)/2,"")</f>
        <v/>
      </c>
      <c r="K974" s="7">
        <f>IF($G974="正常",MIN($J974,12),"")</f>
        <v/>
      </c>
      <c r="L974" s="7">
        <f>IF($G974="正常",MAX($J974-12,0),"")</f>
        <v/>
      </c>
    </row>
    <row r="975">
      <c r="A975" s="3" t="inlineStr">
        <is>
          <t>张恩兵</t>
        </is>
      </c>
      <c r="B975" s="3" t="inlineStr">
        <is>
          <t>8/13</t>
        </is>
      </c>
      <c r="C975" s="3" t="inlineStr">
        <is>
          <t>四</t>
        </is>
      </c>
      <c r="D975" s="3" t="inlineStr">
        <is>
          <t>08:24 19:00</t>
        </is>
      </c>
      <c r="E975" s="4" t="n">
        <v>0.35</v>
      </c>
      <c r="F975" s="4" t="n">
        <v>0.7916666666666666</v>
      </c>
      <c r="G975" s="3">
        <f>IF($E975="","空卡",IF($F975="","单卡","正常"))</f>
        <v/>
      </c>
      <c r="H975" s="5">
        <f>IF($G975="正常",ROUND(($F975-$E975)*1440,0),"")</f>
        <v/>
      </c>
      <c r="I975" s="6">
        <f>IF($G975="正常",$H975/60,"")</f>
        <v/>
      </c>
      <c r="J975" s="7">
        <f>IF($G975="正常",ROUND($H975/30,0)/2,"")</f>
        <v/>
      </c>
      <c r="K975" s="7">
        <f>IF($G975="正常",MIN($J975,12),"")</f>
        <v/>
      </c>
      <c r="L975" s="7">
        <f>IF($G975="正常",MAX($J975-12,0),"")</f>
        <v/>
      </c>
    </row>
    <row r="976">
      <c r="A976" s="3" t="inlineStr">
        <is>
          <t>张恩兵</t>
        </is>
      </c>
      <c r="B976" s="3" t="inlineStr">
        <is>
          <t>8/14</t>
        </is>
      </c>
      <c r="C976" s="3" t="inlineStr">
        <is>
          <t>五</t>
        </is>
      </c>
      <c r="D976" s="3" t="inlineStr">
        <is>
          <t>08:19 20:39</t>
        </is>
      </c>
      <c r="E976" s="4" t="n">
        <v>0.3465277777777778</v>
      </c>
      <c r="F976" s="4" t="n">
        <v>0.8604166666666667</v>
      </c>
      <c r="G976" s="3">
        <f>IF($E976="","空卡",IF($F976="","单卡","正常"))</f>
        <v/>
      </c>
      <c r="H976" s="5">
        <f>IF($G976="正常",ROUND(($F976-$E976)*1440,0),"")</f>
        <v/>
      </c>
      <c r="I976" s="6">
        <f>IF($G976="正常",$H976/60,"")</f>
        <v/>
      </c>
      <c r="J976" s="7">
        <f>IF($G976="正常",ROUND($H976/30,0)/2,"")</f>
        <v/>
      </c>
      <c r="K976" s="7">
        <f>IF($G976="正常",MIN($J976,12),"")</f>
        <v/>
      </c>
      <c r="L976" s="7">
        <f>IF($G976="正常",MAX($J976-12,0),"")</f>
        <v/>
      </c>
    </row>
    <row r="977">
      <c r="A977" s="3" t="inlineStr">
        <is>
          <t>张恩兵</t>
        </is>
      </c>
      <c r="B977" s="3" t="inlineStr">
        <is>
          <t>8/15</t>
        </is>
      </c>
      <c r="C977" s="3" t="inlineStr">
        <is>
          <t>六</t>
        </is>
      </c>
      <c r="D977" s="3" t="inlineStr">
        <is>
          <t>06:49 17:58</t>
        </is>
      </c>
      <c r="E977" s="4" t="n">
        <v>0.2840277777777778</v>
      </c>
      <c r="F977" s="4" t="n">
        <v>0.7486111111111111</v>
      </c>
      <c r="G977" s="3">
        <f>IF($E977="","空卡",IF($F977="","单卡","正常"))</f>
        <v/>
      </c>
      <c r="H977" s="5">
        <f>IF($G977="正常",ROUND(($F977-$E977)*1440,0),"")</f>
        <v/>
      </c>
      <c r="I977" s="6">
        <f>IF($G977="正常",$H977/60,"")</f>
        <v/>
      </c>
      <c r="J977" s="7">
        <f>IF($G977="正常",ROUND($H977/30,0)/2,"")</f>
        <v/>
      </c>
      <c r="K977" s="7">
        <f>IF($G977="正常",MIN($J977,12),"")</f>
        <v/>
      </c>
      <c r="L977" s="7">
        <f>IF($G977="正常",MAX($J977-12,0),"")</f>
        <v/>
      </c>
    </row>
    <row r="978">
      <c r="A978" s="8" t="inlineStr">
        <is>
          <t>张恩兵</t>
        </is>
      </c>
      <c r="B978" s="8" t="inlineStr">
        <is>
          <t>8/16</t>
        </is>
      </c>
      <c r="C978" s="8" t="inlineStr">
        <is>
          <t>日</t>
        </is>
      </c>
      <c r="D978" s="8" t="inlineStr"/>
      <c r="E978" s="9" t="n"/>
      <c r="F978" s="9" t="n"/>
      <c r="G978" s="10">
        <f>IF($E978="","空卡",IF($F978="","单卡","正常"))</f>
        <v/>
      </c>
      <c r="H978" s="11">
        <f>IF($G978="正常",ROUND(($F978-$E978)*1440,0),"")</f>
        <v/>
      </c>
      <c r="I978" s="12">
        <f>IF($G978="正常",$H978/60,"")</f>
        <v/>
      </c>
      <c r="J978" s="13">
        <f>IF($G978="正常",ROUND($H978/30,0)/2,"")</f>
        <v/>
      </c>
      <c r="K978" s="13">
        <f>IF($G978="正常",MIN($J978,12),"")</f>
        <v/>
      </c>
      <c r="L978" s="13">
        <f>IF($G978="正常",MAX($J978-12,0),"")</f>
        <v/>
      </c>
    </row>
    <row r="979">
      <c r="A979" s="3" t="inlineStr">
        <is>
          <t>张恩兵</t>
        </is>
      </c>
      <c r="B979" s="3" t="inlineStr">
        <is>
          <t>8/17</t>
        </is>
      </c>
      <c r="C979" s="3" t="inlineStr">
        <is>
          <t>一</t>
        </is>
      </c>
      <c r="D979" s="3" t="inlineStr">
        <is>
          <t>07:47 19:03</t>
        </is>
      </c>
      <c r="E979" s="4" t="n">
        <v>0.3243055555555556</v>
      </c>
      <c r="F979" s="4" t="n">
        <v>0.79375</v>
      </c>
      <c r="G979" s="3">
        <f>IF($E979="","空卡",IF($F979="","单卡","正常"))</f>
        <v/>
      </c>
      <c r="H979" s="5">
        <f>IF($G979="正常",ROUND(($F979-$E979)*1440,0),"")</f>
        <v/>
      </c>
      <c r="I979" s="6">
        <f>IF($G979="正常",$H979/60,"")</f>
        <v/>
      </c>
      <c r="J979" s="7">
        <f>IF($G979="正常",ROUND($H979/30,0)/2,"")</f>
        <v/>
      </c>
      <c r="K979" s="7">
        <f>IF($G979="正常",MIN($J979,12),"")</f>
        <v/>
      </c>
      <c r="L979" s="7">
        <f>IF($G979="正常",MAX($J979-12,0),"")</f>
        <v/>
      </c>
    </row>
    <row r="980">
      <c r="A980" s="3" t="inlineStr">
        <is>
          <t>张恩兵</t>
        </is>
      </c>
      <c r="B980" s="3" t="inlineStr">
        <is>
          <t>8/18</t>
        </is>
      </c>
      <c r="C980" s="3" t="inlineStr">
        <is>
          <t>二</t>
        </is>
      </c>
      <c r="D980" s="3" t="inlineStr">
        <is>
          <t>07:47 19:05</t>
        </is>
      </c>
      <c r="E980" s="4" t="n">
        <v>0.3243055555555556</v>
      </c>
      <c r="F980" s="4" t="n">
        <v>0.7951388888888888</v>
      </c>
      <c r="G980" s="3">
        <f>IF($E980="","空卡",IF($F980="","单卡","正常"))</f>
        <v/>
      </c>
      <c r="H980" s="5">
        <f>IF($G980="正常",ROUND(($F980-$E980)*1440,0),"")</f>
        <v/>
      </c>
      <c r="I980" s="6">
        <f>IF($G980="正常",$H980/60,"")</f>
        <v/>
      </c>
      <c r="J980" s="7">
        <f>IF($G980="正常",ROUND($H980/30,0)/2,"")</f>
        <v/>
      </c>
      <c r="K980" s="7">
        <f>IF($G980="正常",MIN($J980,12),"")</f>
        <v/>
      </c>
      <c r="L980" s="7">
        <f>IF($G980="正常",MAX($J980-12,0),"")</f>
        <v/>
      </c>
    </row>
    <row r="981">
      <c r="A981" s="3" t="inlineStr">
        <is>
          <t>张恩兵</t>
        </is>
      </c>
      <c r="B981" s="3" t="inlineStr">
        <is>
          <t>8/19</t>
        </is>
      </c>
      <c r="C981" s="3" t="inlineStr">
        <is>
          <t>三</t>
        </is>
      </c>
      <c r="D981" s="3" t="inlineStr">
        <is>
          <t>07:19 18:35</t>
        </is>
      </c>
      <c r="E981" s="4" t="n">
        <v>0.3048611111111111</v>
      </c>
      <c r="F981" s="4" t="n">
        <v>0.7743055555555556</v>
      </c>
      <c r="G981" s="3">
        <f>IF($E981="","空卡",IF($F981="","单卡","正常"))</f>
        <v/>
      </c>
      <c r="H981" s="5">
        <f>IF($G981="正常",ROUND(($F981-$E981)*1440,0),"")</f>
        <v/>
      </c>
      <c r="I981" s="6">
        <f>IF($G981="正常",$H981/60,"")</f>
        <v/>
      </c>
      <c r="J981" s="7">
        <f>IF($G981="正常",ROUND($H981/30,0)/2,"")</f>
        <v/>
      </c>
      <c r="K981" s="7">
        <f>IF($G981="正常",MIN($J981,12),"")</f>
        <v/>
      </c>
      <c r="L981" s="7">
        <f>IF($G981="正常",MAX($J981-12,0),"")</f>
        <v/>
      </c>
    </row>
    <row r="982">
      <c r="A982" s="3" t="inlineStr">
        <is>
          <t>张恩兵</t>
        </is>
      </c>
      <c r="B982" s="3" t="inlineStr">
        <is>
          <t>8/20</t>
        </is>
      </c>
      <c r="C982" s="3" t="inlineStr">
        <is>
          <t>四</t>
        </is>
      </c>
      <c r="D982" s="3" t="inlineStr">
        <is>
          <t>10:19 19:31</t>
        </is>
      </c>
      <c r="E982" s="4" t="n">
        <v>0.4298611111111111</v>
      </c>
      <c r="F982" s="4" t="n">
        <v>0.8131944444444444</v>
      </c>
      <c r="G982" s="3">
        <f>IF($E982="","空卡",IF($F982="","单卡","正常"))</f>
        <v/>
      </c>
      <c r="H982" s="5">
        <f>IF($G982="正常",ROUND(($F982-$E982)*1440,0),"")</f>
        <v/>
      </c>
      <c r="I982" s="6">
        <f>IF($G982="正常",$H982/60,"")</f>
        <v/>
      </c>
      <c r="J982" s="7">
        <f>IF($G982="正常",ROUND($H982/30,0)/2,"")</f>
        <v/>
      </c>
      <c r="K982" s="7">
        <f>IF($G982="正常",MIN($J982,12),"")</f>
        <v/>
      </c>
      <c r="L982" s="7">
        <f>IF($G982="正常",MAX($J982-12,0),"")</f>
        <v/>
      </c>
    </row>
    <row r="983">
      <c r="A983" s="3" t="inlineStr">
        <is>
          <t>张恩兵</t>
        </is>
      </c>
      <c r="B983" s="3" t="inlineStr">
        <is>
          <t>8/21</t>
        </is>
      </c>
      <c r="C983" s="3" t="inlineStr">
        <is>
          <t>五</t>
        </is>
      </c>
      <c r="D983" s="3" t="inlineStr">
        <is>
          <t>06:49 19:03</t>
        </is>
      </c>
      <c r="E983" s="4" t="n">
        <v>0.2840277777777778</v>
      </c>
      <c r="F983" s="4" t="n">
        <v>0.79375</v>
      </c>
      <c r="G983" s="3">
        <f>IF($E983="","空卡",IF($F983="","单卡","正常"))</f>
        <v/>
      </c>
      <c r="H983" s="5">
        <f>IF($G983="正常",ROUND(($F983-$E983)*1440,0),"")</f>
        <v/>
      </c>
      <c r="I983" s="6">
        <f>IF($G983="正常",$H983/60,"")</f>
        <v/>
      </c>
      <c r="J983" s="7">
        <f>IF($G983="正常",ROUND($H983/30,0)/2,"")</f>
        <v/>
      </c>
      <c r="K983" s="7">
        <f>IF($G983="正常",MIN($J983,12),"")</f>
        <v/>
      </c>
      <c r="L983" s="7">
        <f>IF($G983="正常",MAX($J983-12,0),"")</f>
        <v/>
      </c>
    </row>
    <row r="984">
      <c r="A984" s="3" t="inlineStr">
        <is>
          <t>张恩兵</t>
        </is>
      </c>
      <c r="B984" s="3" t="inlineStr">
        <is>
          <t>8/22</t>
        </is>
      </c>
      <c r="C984" s="3" t="inlineStr">
        <is>
          <t>六</t>
        </is>
      </c>
      <c r="D984" s="3" t="inlineStr">
        <is>
          <t>06:53 18:30</t>
        </is>
      </c>
      <c r="E984" s="4" t="n">
        <v>0.2868055555555555</v>
      </c>
      <c r="F984" s="4" t="n">
        <v>0.7708333333333334</v>
      </c>
      <c r="G984" s="3">
        <f>IF($E984="","空卡",IF($F984="","单卡","正常"))</f>
        <v/>
      </c>
      <c r="H984" s="5">
        <f>IF($G984="正常",ROUND(($F984-$E984)*1440,0),"")</f>
        <v/>
      </c>
      <c r="I984" s="6">
        <f>IF($G984="正常",$H984/60,"")</f>
        <v/>
      </c>
      <c r="J984" s="7">
        <f>IF($G984="正常",ROUND($H984/30,0)/2,"")</f>
        <v/>
      </c>
      <c r="K984" s="7">
        <f>IF($G984="正常",MIN($J984,12),"")</f>
        <v/>
      </c>
      <c r="L984" s="7">
        <f>IF($G984="正常",MAX($J984-12,0),"")</f>
        <v/>
      </c>
    </row>
    <row r="985">
      <c r="A985" s="8" t="inlineStr">
        <is>
          <t>张恩兵</t>
        </is>
      </c>
      <c r="B985" s="8" t="inlineStr">
        <is>
          <t>8/23</t>
        </is>
      </c>
      <c r="C985" s="8" t="inlineStr">
        <is>
          <t>日</t>
        </is>
      </c>
      <c r="D985" s="8" t="inlineStr"/>
      <c r="E985" s="9" t="n"/>
      <c r="F985" s="9" t="n"/>
      <c r="G985" s="10">
        <f>IF($E985="","空卡",IF($F985="","单卡","正常"))</f>
        <v/>
      </c>
      <c r="H985" s="11">
        <f>IF($G985="正常",ROUND(($F985-$E985)*1440,0),"")</f>
        <v/>
      </c>
      <c r="I985" s="12">
        <f>IF($G985="正常",$H985/60,"")</f>
        <v/>
      </c>
      <c r="J985" s="13">
        <f>IF($G985="正常",ROUND($H985/30,0)/2,"")</f>
        <v/>
      </c>
      <c r="K985" s="13">
        <f>IF($G985="正常",MIN($J985,12),"")</f>
        <v/>
      </c>
      <c r="L985" s="13">
        <f>IF($G985="正常",MAX($J985-12,0),"")</f>
        <v/>
      </c>
    </row>
    <row r="986">
      <c r="A986" s="3" t="inlineStr">
        <is>
          <t>张恩兵</t>
        </is>
      </c>
      <c r="B986" s="3" t="inlineStr">
        <is>
          <t>8/24</t>
        </is>
      </c>
      <c r="C986" s="3" t="inlineStr">
        <is>
          <t>一</t>
        </is>
      </c>
      <c r="D986" s="3" t="inlineStr">
        <is>
          <t>06:47 16:35</t>
        </is>
      </c>
      <c r="E986" s="4" t="n">
        <v>0.2826388888888889</v>
      </c>
      <c r="F986" s="4" t="n">
        <v>0.6909722222222222</v>
      </c>
      <c r="G986" s="3">
        <f>IF($E986="","空卡",IF($F986="","单卡","正常"))</f>
        <v/>
      </c>
      <c r="H986" s="5">
        <f>IF($G986="正常",ROUND(($F986-$E986)*1440,0),"")</f>
        <v/>
      </c>
      <c r="I986" s="6">
        <f>IF($G986="正常",$H986/60,"")</f>
        <v/>
      </c>
      <c r="J986" s="7">
        <f>IF($G986="正常",ROUND($H986/30,0)/2,"")</f>
        <v/>
      </c>
      <c r="K986" s="7">
        <f>IF($G986="正常",MIN($J986,12),"")</f>
        <v/>
      </c>
      <c r="L986" s="7">
        <f>IF($G986="正常",MAX($J986-12,0),"")</f>
        <v/>
      </c>
    </row>
    <row r="987">
      <c r="A987" s="3" t="inlineStr">
        <is>
          <t>张恩兵</t>
        </is>
      </c>
      <c r="B987" s="3" t="inlineStr">
        <is>
          <t>8/25</t>
        </is>
      </c>
      <c r="C987" s="3" t="inlineStr">
        <is>
          <t>二</t>
        </is>
      </c>
      <c r="D987" s="3" t="inlineStr">
        <is>
          <t>08:45 18:40</t>
        </is>
      </c>
      <c r="E987" s="4" t="n">
        <v>0.3645833333333333</v>
      </c>
      <c r="F987" s="4" t="n">
        <v>0.7777777777777778</v>
      </c>
      <c r="G987" s="3">
        <f>IF($E987="","空卡",IF($F987="","单卡","正常"))</f>
        <v/>
      </c>
      <c r="H987" s="5">
        <f>IF($G987="正常",ROUND(($F987-$E987)*1440,0),"")</f>
        <v/>
      </c>
      <c r="I987" s="6">
        <f>IF($G987="正常",$H987/60,"")</f>
        <v/>
      </c>
      <c r="J987" s="7">
        <f>IF($G987="正常",ROUND($H987/30,0)/2,"")</f>
        <v/>
      </c>
      <c r="K987" s="7">
        <f>IF($G987="正常",MIN($J987,12),"")</f>
        <v/>
      </c>
      <c r="L987" s="7">
        <f>IF($G987="正常",MAX($J987-12,0),"")</f>
        <v/>
      </c>
    </row>
    <row r="988">
      <c r="A988" s="3" t="inlineStr">
        <is>
          <t>张恩兵</t>
        </is>
      </c>
      <c r="B988" s="3" t="inlineStr">
        <is>
          <t>8/26</t>
        </is>
      </c>
      <c r="C988" s="3" t="inlineStr">
        <is>
          <t>三</t>
        </is>
      </c>
      <c r="D988" s="3" t="inlineStr">
        <is>
          <t>07:47 18:57</t>
        </is>
      </c>
      <c r="E988" s="4" t="n">
        <v>0.3243055555555556</v>
      </c>
      <c r="F988" s="4" t="n">
        <v>0.7895833333333333</v>
      </c>
      <c r="G988" s="3">
        <f>IF($E988="","空卡",IF($F988="","单卡","正常"))</f>
        <v/>
      </c>
      <c r="H988" s="5">
        <f>IF($G988="正常",ROUND(($F988-$E988)*1440,0),"")</f>
        <v/>
      </c>
      <c r="I988" s="6">
        <f>IF($G988="正常",$H988/60,"")</f>
        <v/>
      </c>
      <c r="J988" s="7">
        <f>IF($G988="正常",ROUND($H988/30,0)/2,"")</f>
        <v/>
      </c>
      <c r="K988" s="7">
        <f>IF($G988="正常",MIN($J988,12),"")</f>
        <v/>
      </c>
      <c r="L988" s="7">
        <f>IF($G988="正常",MAX($J988-12,0),"")</f>
        <v/>
      </c>
    </row>
    <row r="989">
      <c r="A989" s="3" t="inlineStr">
        <is>
          <t>张恩兵</t>
        </is>
      </c>
      <c r="B989" s="3" t="inlineStr">
        <is>
          <t>8/27</t>
        </is>
      </c>
      <c r="C989" s="3" t="inlineStr">
        <is>
          <t>四</t>
        </is>
      </c>
      <c r="D989" s="3" t="inlineStr">
        <is>
          <t>07:49 19:05</t>
        </is>
      </c>
      <c r="E989" s="4" t="n">
        <v>0.3256944444444445</v>
      </c>
      <c r="F989" s="4" t="n">
        <v>0.7951388888888888</v>
      </c>
      <c r="G989" s="3">
        <f>IF($E989="","空卡",IF($F989="","单卡","正常"))</f>
        <v/>
      </c>
      <c r="H989" s="5">
        <f>IF($G989="正常",ROUND(($F989-$E989)*1440,0),"")</f>
        <v/>
      </c>
      <c r="I989" s="6">
        <f>IF($G989="正常",$H989/60,"")</f>
        <v/>
      </c>
      <c r="J989" s="7">
        <f>IF($G989="正常",ROUND($H989/30,0)/2,"")</f>
        <v/>
      </c>
      <c r="K989" s="7">
        <f>IF($G989="正常",MIN($J989,12),"")</f>
        <v/>
      </c>
      <c r="L989" s="7">
        <f>IF($G989="正常",MAX($J989-12,0),"")</f>
        <v/>
      </c>
    </row>
    <row r="990">
      <c r="A990" s="3" t="inlineStr">
        <is>
          <t>张恩兵</t>
        </is>
      </c>
      <c r="B990" s="3" t="inlineStr">
        <is>
          <t>8/28</t>
        </is>
      </c>
      <c r="C990" s="3" t="inlineStr">
        <is>
          <t>五</t>
        </is>
      </c>
      <c r="D990" s="3" t="inlineStr">
        <is>
          <t>07:48 18:37</t>
        </is>
      </c>
      <c r="E990" s="4" t="n">
        <v>0.325</v>
      </c>
      <c r="F990" s="4" t="n">
        <v>0.7756944444444445</v>
      </c>
      <c r="G990" s="3">
        <f>IF($E990="","空卡",IF($F990="","单卡","正常"))</f>
        <v/>
      </c>
      <c r="H990" s="5">
        <f>IF($G990="正常",ROUND(($F990-$E990)*1440,0),"")</f>
        <v/>
      </c>
      <c r="I990" s="6">
        <f>IF($G990="正常",$H990/60,"")</f>
        <v/>
      </c>
      <c r="J990" s="7">
        <f>IF($G990="正常",ROUND($H990/30,0)/2,"")</f>
        <v/>
      </c>
      <c r="K990" s="7">
        <f>IF($G990="正常",MIN($J990,12),"")</f>
        <v/>
      </c>
      <c r="L990" s="7">
        <f>IF($G990="正常",MAX($J990-12,0),"")</f>
        <v/>
      </c>
    </row>
    <row r="991">
      <c r="A991" s="3" t="inlineStr">
        <is>
          <t>张恩兵</t>
        </is>
      </c>
      <c r="B991" s="3" t="inlineStr">
        <is>
          <t>8/29</t>
        </is>
      </c>
      <c r="C991" s="3" t="inlineStr">
        <is>
          <t>六</t>
        </is>
      </c>
      <c r="D991" s="3" t="inlineStr">
        <is>
          <t>07:50 21:03</t>
        </is>
      </c>
      <c r="E991" s="4" t="n">
        <v>0.3263888888888889</v>
      </c>
      <c r="F991" s="4" t="n">
        <v>0.8770833333333333</v>
      </c>
      <c r="G991" s="3">
        <f>IF($E991="","空卡",IF($F991="","单卡","正常"))</f>
        <v/>
      </c>
      <c r="H991" s="5">
        <f>IF($G991="正常",ROUND(($F991-$E991)*1440,0),"")</f>
        <v/>
      </c>
      <c r="I991" s="6">
        <f>IF($G991="正常",$H991/60,"")</f>
        <v/>
      </c>
      <c r="J991" s="7">
        <f>IF($G991="正常",ROUND($H991/30,0)/2,"")</f>
        <v/>
      </c>
      <c r="K991" s="7">
        <f>IF($G991="正常",MIN($J991,12),"")</f>
        <v/>
      </c>
      <c r="L991" s="7">
        <f>IF($G991="正常",MAX($J991-12,0),"")</f>
        <v/>
      </c>
    </row>
    <row r="992">
      <c r="A992" s="3" t="inlineStr">
        <is>
          <t>张恩兵</t>
        </is>
      </c>
      <c r="B992" s="3" t="inlineStr">
        <is>
          <t>8/30</t>
        </is>
      </c>
      <c r="C992" s="3" t="inlineStr">
        <is>
          <t>日</t>
        </is>
      </c>
      <c r="D992" s="3" t="inlineStr">
        <is>
          <t>07:48 18:46</t>
        </is>
      </c>
      <c r="E992" s="4" t="n">
        <v>0.325</v>
      </c>
      <c r="F992" s="4" t="n">
        <v>0.7819444444444444</v>
      </c>
      <c r="G992" s="3">
        <f>IF($E992="","空卡",IF($F992="","单卡","正常"))</f>
        <v/>
      </c>
      <c r="H992" s="5">
        <f>IF($G992="正常",ROUND(($F992-$E992)*1440,0),"")</f>
        <v/>
      </c>
      <c r="I992" s="6">
        <f>IF($G992="正常",$H992/60,"")</f>
        <v/>
      </c>
      <c r="J992" s="7">
        <f>IF($G992="正常",ROUND($H992/30,0)/2,"")</f>
        <v/>
      </c>
      <c r="K992" s="7">
        <f>IF($G992="正常",MIN($J992,12),"")</f>
        <v/>
      </c>
      <c r="L992" s="7">
        <f>IF($G992="正常",MAX($J992-12,0),"")</f>
        <v/>
      </c>
    </row>
    <row r="993">
      <c r="A993" s="8" t="inlineStr">
        <is>
          <t>张恩兵</t>
        </is>
      </c>
      <c r="B993" s="8" t="inlineStr">
        <is>
          <t>8/31</t>
        </is>
      </c>
      <c r="C993" s="8" t="inlineStr">
        <is>
          <t>一</t>
        </is>
      </c>
      <c r="D993" s="8" t="inlineStr"/>
      <c r="E993" s="9" t="n"/>
      <c r="F993" s="9" t="n"/>
      <c r="G993" s="10">
        <f>IF($E993="","空卡",IF($F993="","单卡","正常"))</f>
        <v/>
      </c>
      <c r="H993" s="11">
        <f>IF($G993="正常",ROUND(($F993-$E993)*1440,0),"")</f>
        <v/>
      </c>
      <c r="I993" s="12">
        <f>IF($G993="正常",$H993/60,"")</f>
        <v/>
      </c>
      <c r="J993" s="13">
        <f>IF($G993="正常",ROUND($H993/30,0)/2,"")</f>
        <v/>
      </c>
      <c r="K993" s="13">
        <f>IF($G993="正常",MIN($J993,12),"")</f>
        <v/>
      </c>
      <c r="L993" s="13">
        <f>IF($G993="正常",MAX($J993-12,0),"")</f>
        <v/>
      </c>
    </row>
    <row r="994">
      <c r="A994" s="3" t="inlineStr">
        <is>
          <t>何开伦</t>
        </is>
      </c>
      <c r="B994" s="3" t="inlineStr">
        <is>
          <t>8/1</t>
        </is>
      </c>
      <c r="C994" s="3" t="inlineStr">
        <is>
          <t>六</t>
        </is>
      </c>
      <c r="D994" s="3" t="inlineStr">
        <is>
          <t>07:55 17:01</t>
        </is>
      </c>
      <c r="E994" s="4" t="n">
        <v>0.3298611111111111</v>
      </c>
      <c r="F994" s="4" t="n">
        <v>0.7090277777777778</v>
      </c>
      <c r="G994" s="3">
        <f>IF($E994="","空卡",IF($F994="","单卡","正常"))</f>
        <v/>
      </c>
      <c r="H994" s="5">
        <f>IF($G994="正常",ROUND(($F994-$E994)*1440,0),"")</f>
        <v/>
      </c>
      <c r="I994" s="6">
        <f>IF($G994="正常",$H994/60,"")</f>
        <v/>
      </c>
      <c r="J994" s="7">
        <f>IF($G994="正常",ROUND($H994/30,0)/2,"")</f>
        <v/>
      </c>
      <c r="K994" s="7">
        <f>IF($G994="正常",MIN($J994,12),"")</f>
        <v/>
      </c>
      <c r="L994" s="7">
        <f>IF($G994="正常",MAX($J994-12,0),"")</f>
        <v/>
      </c>
    </row>
    <row r="995">
      <c r="A995" s="3" t="inlineStr">
        <is>
          <t>何开伦</t>
        </is>
      </c>
      <c r="B995" s="3" t="inlineStr">
        <is>
          <t>8/2</t>
        </is>
      </c>
      <c r="C995" s="3" t="inlineStr">
        <is>
          <t>日</t>
        </is>
      </c>
      <c r="D995" s="3" t="inlineStr">
        <is>
          <t>07:54 14:58</t>
        </is>
      </c>
      <c r="E995" s="4" t="n">
        <v>0.3291666666666667</v>
      </c>
      <c r="F995" s="4" t="n">
        <v>0.6236111111111111</v>
      </c>
      <c r="G995" s="3">
        <f>IF($E995="","空卡",IF($F995="","单卡","正常"))</f>
        <v/>
      </c>
      <c r="H995" s="5">
        <f>IF($G995="正常",ROUND(($F995-$E995)*1440,0),"")</f>
        <v/>
      </c>
      <c r="I995" s="6">
        <f>IF($G995="正常",$H995/60,"")</f>
        <v/>
      </c>
      <c r="J995" s="7">
        <f>IF($G995="正常",ROUND($H995/30,0)/2,"")</f>
        <v/>
      </c>
      <c r="K995" s="7">
        <f>IF($G995="正常",MIN($J995,12),"")</f>
        <v/>
      </c>
      <c r="L995" s="7">
        <f>IF($G995="正常",MAX($J995-12,0),"")</f>
        <v/>
      </c>
    </row>
    <row r="996">
      <c r="A996" s="3" t="inlineStr">
        <is>
          <t>何开伦</t>
        </is>
      </c>
      <c r="B996" s="3" t="inlineStr">
        <is>
          <t>8/3</t>
        </is>
      </c>
      <c r="C996" s="3" t="inlineStr">
        <is>
          <t>一</t>
        </is>
      </c>
      <c r="D996" s="3" t="inlineStr">
        <is>
          <t>08:22 15:30</t>
        </is>
      </c>
      <c r="E996" s="4" t="n">
        <v>0.3486111111111111</v>
      </c>
      <c r="F996" s="4" t="n">
        <v>0.6458333333333334</v>
      </c>
      <c r="G996" s="3">
        <f>IF($E996="","空卡",IF($F996="","单卡","正常"))</f>
        <v/>
      </c>
      <c r="H996" s="5">
        <f>IF($G996="正常",ROUND(($F996-$E996)*1440,0),"")</f>
        <v/>
      </c>
      <c r="I996" s="6">
        <f>IF($G996="正常",$H996/60,"")</f>
        <v/>
      </c>
      <c r="J996" s="7">
        <f>IF($G996="正常",ROUND($H996/30,0)/2,"")</f>
        <v/>
      </c>
      <c r="K996" s="7">
        <f>IF($G996="正常",MIN($J996,12),"")</f>
        <v/>
      </c>
      <c r="L996" s="7">
        <f>IF($G996="正常",MAX($J996-12,0),"")</f>
        <v/>
      </c>
    </row>
    <row r="997">
      <c r="A997" s="3" t="inlineStr">
        <is>
          <t>何开伦</t>
        </is>
      </c>
      <c r="B997" s="3" t="inlineStr">
        <is>
          <t>8/4</t>
        </is>
      </c>
      <c r="C997" s="3" t="inlineStr">
        <is>
          <t>二</t>
        </is>
      </c>
      <c r="D997" s="3" t="inlineStr">
        <is>
          <t>09:03 19:33</t>
        </is>
      </c>
      <c r="E997" s="4" t="n">
        <v>0.3770833333333333</v>
      </c>
      <c r="F997" s="4" t="n">
        <v>0.8145833333333333</v>
      </c>
      <c r="G997" s="3">
        <f>IF($E997="","空卡",IF($F997="","单卡","正常"))</f>
        <v/>
      </c>
      <c r="H997" s="5">
        <f>IF($G997="正常",ROUND(($F997-$E997)*1440,0),"")</f>
        <v/>
      </c>
      <c r="I997" s="6">
        <f>IF($G997="正常",$H997/60,"")</f>
        <v/>
      </c>
      <c r="J997" s="7">
        <f>IF($G997="正常",ROUND($H997/30,0)/2,"")</f>
        <v/>
      </c>
      <c r="K997" s="7">
        <f>IF($G997="正常",MIN($J997,12),"")</f>
        <v/>
      </c>
      <c r="L997" s="7">
        <f>IF($G997="正常",MAX($J997-12,0),"")</f>
        <v/>
      </c>
    </row>
    <row r="998">
      <c r="A998" s="3" t="inlineStr">
        <is>
          <t>何开伦</t>
        </is>
      </c>
      <c r="B998" s="3" t="inlineStr">
        <is>
          <t>8/5</t>
        </is>
      </c>
      <c r="C998" s="3" t="inlineStr">
        <is>
          <t>三</t>
        </is>
      </c>
      <c r="D998" s="3" t="inlineStr">
        <is>
          <t>09:54 10:02 19:36</t>
        </is>
      </c>
      <c r="E998" s="4" t="n">
        <v>0.4125</v>
      </c>
      <c r="F998" s="4" t="n">
        <v>0.8166666666666667</v>
      </c>
      <c r="G998" s="3">
        <f>IF($E998="","空卡",IF($F998="","单卡","正常"))</f>
        <v/>
      </c>
      <c r="H998" s="5">
        <f>IF($G998="正常",ROUND(($F998-$E998)*1440,0),"")</f>
        <v/>
      </c>
      <c r="I998" s="6">
        <f>IF($G998="正常",$H998/60,"")</f>
        <v/>
      </c>
      <c r="J998" s="7">
        <f>IF($G998="正常",ROUND($H998/30,0)/2,"")</f>
        <v/>
      </c>
      <c r="K998" s="7">
        <f>IF($G998="正常",MIN($J998,12),"")</f>
        <v/>
      </c>
      <c r="L998" s="7">
        <f>IF($G998="正常",MAX($J998-12,0),"")</f>
        <v/>
      </c>
    </row>
    <row r="999">
      <c r="A999" s="3" t="inlineStr">
        <is>
          <t>何开伦</t>
        </is>
      </c>
      <c r="B999" s="3" t="inlineStr">
        <is>
          <t>8/6</t>
        </is>
      </c>
      <c r="C999" s="3" t="inlineStr">
        <is>
          <t>四</t>
        </is>
      </c>
      <c r="D999" s="3" t="inlineStr">
        <is>
          <t>08:53 19:00</t>
        </is>
      </c>
      <c r="E999" s="4" t="n">
        <v>0.3701388888888889</v>
      </c>
      <c r="F999" s="4" t="n">
        <v>0.7916666666666666</v>
      </c>
      <c r="G999" s="3">
        <f>IF($E999="","空卡",IF($F999="","单卡","正常"))</f>
        <v/>
      </c>
      <c r="H999" s="5">
        <f>IF($G999="正常",ROUND(($F999-$E999)*1440,0),"")</f>
        <v/>
      </c>
      <c r="I999" s="6">
        <f>IF($G999="正常",$H999/60,"")</f>
        <v/>
      </c>
      <c r="J999" s="7">
        <f>IF($G999="正常",ROUND($H999/30,0)/2,"")</f>
        <v/>
      </c>
      <c r="K999" s="7">
        <f>IF($G999="正常",MIN($J999,12),"")</f>
        <v/>
      </c>
      <c r="L999" s="7">
        <f>IF($G999="正常",MAX($J999-12,0),"")</f>
        <v/>
      </c>
    </row>
    <row r="1000">
      <c r="A1000" s="3" t="inlineStr">
        <is>
          <t>何开伦</t>
        </is>
      </c>
      <c r="B1000" s="3" t="inlineStr">
        <is>
          <t>8/7</t>
        </is>
      </c>
      <c r="C1000" s="3" t="inlineStr">
        <is>
          <t>五</t>
        </is>
      </c>
      <c r="D1000" s="3" t="inlineStr">
        <is>
          <t>06:52 19:35</t>
        </is>
      </c>
      <c r="E1000" s="4" t="n">
        <v>0.2861111111111111</v>
      </c>
      <c r="F1000" s="4" t="n">
        <v>0.8159722222222222</v>
      </c>
      <c r="G1000" s="3">
        <f>IF($E1000="","空卡",IF($F1000="","单卡","正常"))</f>
        <v/>
      </c>
      <c r="H1000" s="5">
        <f>IF($G1000="正常",ROUND(($F1000-$E1000)*1440,0),"")</f>
        <v/>
      </c>
      <c r="I1000" s="6">
        <f>IF($G1000="正常",$H1000/60,"")</f>
        <v/>
      </c>
      <c r="J1000" s="7">
        <f>IF($G1000="正常",ROUND($H1000/30,0)/2,"")</f>
        <v/>
      </c>
      <c r="K1000" s="7">
        <f>IF($G1000="正常",MIN($J1000,12),"")</f>
        <v/>
      </c>
      <c r="L1000" s="7">
        <f>IF($G1000="正常",MAX($J1000-12,0),"")</f>
        <v/>
      </c>
    </row>
    <row r="1001">
      <c r="A1001" s="3" t="inlineStr">
        <is>
          <t>何开伦</t>
        </is>
      </c>
      <c r="B1001" s="3" t="inlineStr">
        <is>
          <t>8/8</t>
        </is>
      </c>
      <c r="C1001" s="3" t="inlineStr">
        <is>
          <t>六</t>
        </is>
      </c>
      <c r="D1001" s="3" t="inlineStr">
        <is>
          <t>08:28 19:38</t>
        </is>
      </c>
      <c r="E1001" s="4" t="n">
        <v>0.3527777777777778</v>
      </c>
      <c r="F1001" s="4" t="n">
        <v>0.8180555555555555</v>
      </c>
      <c r="G1001" s="3">
        <f>IF($E1001="","空卡",IF($F1001="","单卡","正常"))</f>
        <v/>
      </c>
      <c r="H1001" s="5">
        <f>IF($G1001="正常",ROUND(($F1001-$E1001)*1440,0),"")</f>
        <v/>
      </c>
      <c r="I1001" s="6">
        <f>IF($G1001="正常",$H1001/60,"")</f>
        <v/>
      </c>
      <c r="J1001" s="7">
        <f>IF($G1001="正常",ROUND($H1001/30,0)/2,"")</f>
        <v/>
      </c>
      <c r="K1001" s="7">
        <f>IF($G1001="正常",MIN($J1001,12),"")</f>
        <v/>
      </c>
      <c r="L1001" s="7">
        <f>IF($G1001="正常",MAX($J1001-12,0),"")</f>
        <v/>
      </c>
    </row>
    <row r="1002">
      <c r="A1002" s="8" t="inlineStr">
        <is>
          <t>何开伦</t>
        </is>
      </c>
      <c r="B1002" s="8" t="inlineStr">
        <is>
          <t>8/9</t>
        </is>
      </c>
      <c r="C1002" s="8" t="inlineStr">
        <is>
          <t>日</t>
        </is>
      </c>
      <c r="D1002" s="8" t="inlineStr"/>
      <c r="E1002" s="9" t="n"/>
      <c r="F1002" s="9" t="n"/>
      <c r="G1002" s="10">
        <f>IF($E1002="","空卡",IF($F1002="","单卡","正常"))</f>
        <v/>
      </c>
      <c r="H1002" s="11">
        <f>IF($G1002="正常",ROUND(($F1002-$E1002)*1440,0),"")</f>
        <v/>
      </c>
      <c r="I1002" s="12">
        <f>IF($G1002="正常",$H1002/60,"")</f>
        <v/>
      </c>
      <c r="J1002" s="13">
        <f>IF($G1002="正常",ROUND($H1002/30,0)/2,"")</f>
        <v/>
      </c>
      <c r="K1002" s="13">
        <f>IF($G1002="正常",MIN($J1002,12),"")</f>
        <v/>
      </c>
      <c r="L1002" s="13">
        <f>IF($G1002="正常",MAX($J1002-12,0),"")</f>
        <v/>
      </c>
    </row>
    <row r="1003">
      <c r="A1003" s="3" t="inlineStr">
        <is>
          <t>何开伦</t>
        </is>
      </c>
      <c r="B1003" s="3" t="inlineStr">
        <is>
          <t>8/10</t>
        </is>
      </c>
      <c r="C1003" s="3" t="inlineStr">
        <is>
          <t>一</t>
        </is>
      </c>
      <c r="D1003" s="3" t="inlineStr">
        <is>
          <t>08:32 19:56</t>
        </is>
      </c>
      <c r="E1003" s="4" t="n">
        <v>0.3555555555555556</v>
      </c>
      <c r="F1003" s="4" t="n">
        <v>0.8305555555555556</v>
      </c>
      <c r="G1003" s="3">
        <f>IF($E1003="","空卡",IF($F1003="","单卡","正常"))</f>
        <v/>
      </c>
      <c r="H1003" s="5">
        <f>IF($G1003="正常",ROUND(($F1003-$E1003)*1440,0),"")</f>
        <v/>
      </c>
      <c r="I1003" s="6">
        <f>IF($G1003="正常",$H1003/60,"")</f>
        <v/>
      </c>
      <c r="J1003" s="7">
        <f>IF($G1003="正常",ROUND($H1003/30,0)/2,"")</f>
        <v/>
      </c>
      <c r="K1003" s="7">
        <f>IF($G1003="正常",MIN($J1003,12),"")</f>
        <v/>
      </c>
      <c r="L1003" s="7">
        <f>IF($G1003="正常",MAX($J1003-12,0),"")</f>
        <v/>
      </c>
    </row>
    <row r="1004">
      <c r="A1004" s="3" t="inlineStr">
        <is>
          <t>何开伦</t>
        </is>
      </c>
      <c r="B1004" s="3" t="inlineStr">
        <is>
          <t>8/11</t>
        </is>
      </c>
      <c r="C1004" s="3" t="inlineStr">
        <is>
          <t>二</t>
        </is>
      </c>
      <c r="D1004" s="3" t="inlineStr">
        <is>
          <t>08:28 18:14</t>
        </is>
      </c>
      <c r="E1004" s="4" t="n">
        <v>0.3527777777777778</v>
      </c>
      <c r="F1004" s="4" t="n">
        <v>0.7597222222222222</v>
      </c>
      <c r="G1004" s="3">
        <f>IF($E1004="","空卡",IF($F1004="","单卡","正常"))</f>
        <v/>
      </c>
      <c r="H1004" s="5">
        <f>IF($G1004="正常",ROUND(($F1004-$E1004)*1440,0),"")</f>
        <v/>
      </c>
      <c r="I1004" s="6">
        <f>IF($G1004="正常",$H1004/60,"")</f>
        <v/>
      </c>
      <c r="J1004" s="7">
        <f>IF($G1004="正常",ROUND($H1004/30,0)/2,"")</f>
        <v/>
      </c>
      <c r="K1004" s="7">
        <f>IF($G1004="正常",MIN($J1004,12),"")</f>
        <v/>
      </c>
      <c r="L1004" s="7">
        <f>IF($G1004="正常",MAX($J1004-12,0),"")</f>
        <v/>
      </c>
    </row>
    <row r="1005">
      <c r="A1005" s="3" t="inlineStr">
        <is>
          <t>何开伦</t>
        </is>
      </c>
      <c r="B1005" s="3" t="inlineStr">
        <is>
          <t>8/12</t>
        </is>
      </c>
      <c r="C1005" s="3" t="inlineStr">
        <is>
          <t>三</t>
        </is>
      </c>
      <c r="D1005" s="3" t="inlineStr">
        <is>
          <t>09:53 18:36</t>
        </is>
      </c>
      <c r="E1005" s="4" t="n">
        <v>0.4118055555555555</v>
      </c>
      <c r="F1005" s="4" t="n">
        <v>0.775</v>
      </c>
      <c r="G1005" s="3">
        <f>IF($E1005="","空卡",IF($F1005="","单卡","正常"))</f>
        <v/>
      </c>
      <c r="H1005" s="5">
        <f>IF($G1005="正常",ROUND(($F1005-$E1005)*1440,0),"")</f>
        <v/>
      </c>
      <c r="I1005" s="6">
        <f>IF($G1005="正常",$H1005/60,"")</f>
        <v/>
      </c>
      <c r="J1005" s="7">
        <f>IF($G1005="正常",ROUND($H1005/30,0)/2,"")</f>
        <v/>
      </c>
      <c r="K1005" s="7">
        <f>IF($G1005="正常",MIN($J1005,12),"")</f>
        <v/>
      </c>
      <c r="L1005" s="7">
        <f>IF($G1005="正常",MAX($J1005-12,0),"")</f>
        <v/>
      </c>
    </row>
    <row r="1006">
      <c r="A1006" s="3" t="inlineStr">
        <is>
          <t>何开伦</t>
        </is>
      </c>
      <c r="B1006" s="3" t="inlineStr">
        <is>
          <t>8/13</t>
        </is>
      </c>
      <c r="C1006" s="3" t="inlineStr">
        <is>
          <t>四</t>
        </is>
      </c>
      <c r="D1006" s="3" t="inlineStr">
        <is>
          <t>08:29 19:00</t>
        </is>
      </c>
      <c r="E1006" s="4" t="n">
        <v>0.3534722222222222</v>
      </c>
      <c r="F1006" s="4" t="n">
        <v>0.7916666666666666</v>
      </c>
      <c r="G1006" s="3">
        <f>IF($E1006="","空卡",IF($F1006="","单卡","正常"))</f>
        <v/>
      </c>
      <c r="H1006" s="5">
        <f>IF($G1006="正常",ROUND(($F1006-$E1006)*1440,0),"")</f>
        <v/>
      </c>
      <c r="I1006" s="6">
        <f>IF($G1006="正常",$H1006/60,"")</f>
        <v/>
      </c>
      <c r="J1006" s="7">
        <f>IF($G1006="正常",ROUND($H1006/30,0)/2,"")</f>
        <v/>
      </c>
      <c r="K1006" s="7">
        <f>IF($G1006="正常",MIN($J1006,12),"")</f>
        <v/>
      </c>
      <c r="L1006" s="7">
        <f>IF($G1006="正常",MAX($J1006-12,0),"")</f>
        <v/>
      </c>
    </row>
    <row r="1007">
      <c r="A1007" s="3" t="inlineStr">
        <is>
          <t>何开伦</t>
        </is>
      </c>
      <c r="B1007" s="3" t="inlineStr">
        <is>
          <t>8/14</t>
        </is>
      </c>
      <c r="C1007" s="3" t="inlineStr">
        <is>
          <t>五</t>
        </is>
      </c>
      <c r="D1007" s="3" t="inlineStr">
        <is>
          <t>08:26 20:54</t>
        </is>
      </c>
      <c r="E1007" s="4" t="n">
        <v>0.3513888888888889</v>
      </c>
      <c r="F1007" s="4" t="n">
        <v>0.8708333333333333</v>
      </c>
      <c r="G1007" s="3">
        <f>IF($E1007="","空卡",IF($F1007="","单卡","正常"))</f>
        <v/>
      </c>
      <c r="H1007" s="5">
        <f>IF($G1007="正常",ROUND(($F1007-$E1007)*1440,0),"")</f>
        <v/>
      </c>
      <c r="I1007" s="6">
        <f>IF($G1007="正常",$H1007/60,"")</f>
        <v/>
      </c>
      <c r="J1007" s="7">
        <f>IF($G1007="正常",ROUND($H1007/30,0)/2,"")</f>
        <v/>
      </c>
      <c r="K1007" s="7">
        <f>IF($G1007="正常",MIN($J1007,12),"")</f>
        <v/>
      </c>
      <c r="L1007" s="7">
        <f>IF($G1007="正常",MAX($J1007-12,0),"")</f>
        <v/>
      </c>
    </row>
    <row r="1008">
      <c r="A1008" s="3" t="inlineStr">
        <is>
          <t>何开伦</t>
        </is>
      </c>
      <c r="B1008" s="3" t="inlineStr">
        <is>
          <t>8/15</t>
        </is>
      </c>
      <c r="C1008" s="3" t="inlineStr">
        <is>
          <t>六</t>
        </is>
      </c>
      <c r="D1008" s="3" t="inlineStr">
        <is>
          <t>06:56 19:02</t>
        </is>
      </c>
      <c r="E1008" s="4" t="n">
        <v>0.2888888888888889</v>
      </c>
      <c r="F1008" s="4" t="n">
        <v>0.7930555555555555</v>
      </c>
      <c r="G1008" s="3">
        <f>IF($E1008="","空卡",IF($F1008="","单卡","正常"))</f>
        <v/>
      </c>
      <c r="H1008" s="5">
        <f>IF($G1008="正常",ROUND(($F1008-$E1008)*1440,0),"")</f>
        <v/>
      </c>
      <c r="I1008" s="6">
        <f>IF($G1008="正常",$H1008/60,"")</f>
        <v/>
      </c>
      <c r="J1008" s="7">
        <f>IF($G1008="正常",ROUND($H1008/30,0)/2,"")</f>
        <v/>
      </c>
      <c r="K1008" s="7">
        <f>IF($G1008="正常",MIN($J1008,12),"")</f>
        <v/>
      </c>
      <c r="L1008" s="7">
        <f>IF($G1008="正常",MAX($J1008-12,0),"")</f>
        <v/>
      </c>
    </row>
    <row r="1009">
      <c r="A1009" s="8" t="inlineStr">
        <is>
          <t>何开伦</t>
        </is>
      </c>
      <c r="B1009" s="8" t="inlineStr">
        <is>
          <t>8/16</t>
        </is>
      </c>
      <c r="C1009" s="8" t="inlineStr">
        <is>
          <t>日</t>
        </is>
      </c>
      <c r="D1009" s="8" t="inlineStr"/>
      <c r="E1009" s="9" t="n"/>
      <c r="F1009" s="9" t="n"/>
      <c r="G1009" s="10">
        <f>IF($E1009="","空卡",IF($F1009="","单卡","正常"))</f>
        <v/>
      </c>
      <c r="H1009" s="11">
        <f>IF($G1009="正常",ROUND(($F1009-$E1009)*1440,0),"")</f>
        <v/>
      </c>
      <c r="I1009" s="12">
        <f>IF($G1009="正常",$H1009/60,"")</f>
        <v/>
      </c>
      <c r="J1009" s="13">
        <f>IF($G1009="正常",ROUND($H1009/30,0)/2,"")</f>
        <v/>
      </c>
      <c r="K1009" s="13">
        <f>IF($G1009="正常",MIN($J1009,12),"")</f>
        <v/>
      </c>
      <c r="L1009" s="13">
        <f>IF($G1009="正常",MAX($J1009-12,0),"")</f>
        <v/>
      </c>
    </row>
    <row r="1010">
      <c r="A1010" s="3" t="inlineStr">
        <is>
          <t>何开伦</t>
        </is>
      </c>
      <c r="B1010" s="3" t="inlineStr">
        <is>
          <t>8/17</t>
        </is>
      </c>
      <c r="C1010" s="3" t="inlineStr">
        <is>
          <t>一</t>
        </is>
      </c>
      <c r="D1010" s="3" t="inlineStr">
        <is>
          <t>07:59 20:00</t>
        </is>
      </c>
      <c r="E1010" s="4" t="n">
        <v>0.3326388888888889</v>
      </c>
      <c r="F1010" s="4" t="n">
        <v>0.8333333333333334</v>
      </c>
      <c r="G1010" s="3">
        <f>IF($E1010="","空卡",IF($F1010="","单卡","正常"))</f>
        <v/>
      </c>
      <c r="H1010" s="5">
        <f>IF($G1010="正常",ROUND(($F1010-$E1010)*1440,0),"")</f>
        <v/>
      </c>
      <c r="I1010" s="6">
        <f>IF($G1010="正常",$H1010/60,"")</f>
        <v/>
      </c>
      <c r="J1010" s="7">
        <f>IF($G1010="正常",ROUND($H1010/30,0)/2,"")</f>
        <v/>
      </c>
      <c r="K1010" s="7">
        <f>IF($G1010="正常",MIN($J1010,12),"")</f>
        <v/>
      </c>
      <c r="L1010" s="7">
        <f>IF($G1010="正常",MAX($J1010-12,0),"")</f>
        <v/>
      </c>
    </row>
    <row r="1011">
      <c r="A1011" s="3" t="inlineStr">
        <is>
          <t>何开伦</t>
        </is>
      </c>
      <c r="B1011" s="3" t="inlineStr">
        <is>
          <t>8/18</t>
        </is>
      </c>
      <c r="C1011" s="3" t="inlineStr">
        <is>
          <t>二</t>
        </is>
      </c>
      <c r="D1011" s="3" t="inlineStr">
        <is>
          <t>08:03 18:59</t>
        </is>
      </c>
      <c r="E1011" s="4" t="n">
        <v>0.3354166666666666</v>
      </c>
      <c r="F1011" s="4" t="n">
        <v>0.7909722222222222</v>
      </c>
      <c r="G1011" s="3">
        <f>IF($E1011="","空卡",IF($F1011="","单卡","正常"))</f>
        <v/>
      </c>
      <c r="H1011" s="5">
        <f>IF($G1011="正常",ROUND(($F1011-$E1011)*1440,0),"")</f>
        <v/>
      </c>
      <c r="I1011" s="6">
        <f>IF($G1011="正常",$H1011/60,"")</f>
        <v/>
      </c>
      <c r="J1011" s="7">
        <f>IF($G1011="正常",ROUND($H1011/30,0)/2,"")</f>
        <v/>
      </c>
      <c r="K1011" s="7">
        <f>IF($G1011="正常",MIN($J1011,12),"")</f>
        <v/>
      </c>
      <c r="L1011" s="7">
        <f>IF($G1011="正常",MAX($J1011-12,0),"")</f>
        <v/>
      </c>
    </row>
    <row r="1012">
      <c r="A1012" s="3" t="inlineStr">
        <is>
          <t>何开伦</t>
        </is>
      </c>
      <c r="B1012" s="3" t="inlineStr">
        <is>
          <t>8/19</t>
        </is>
      </c>
      <c r="C1012" s="3" t="inlineStr">
        <is>
          <t>三</t>
        </is>
      </c>
      <c r="D1012" s="3" t="inlineStr">
        <is>
          <t>07:25 20:29</t>
        </is>
      </c>
      <c r="E1012" s="4" t="n">
        <v>0.3090277777777778</v>
      </c>
      <c r="F1012" s="4" t="n">
        <v>0.8534722222222222</v>
      </c>
      <c r="G1012" s="3">
        <f>IF($E1012="","空卡",IF($F1012="","单卡","正常"))</f>
        <v/>
      </c>
      <c r="H1012" s="5">
        <f>IF($G1012="正常",ROUND(($F1012-$E1012)*1440,0),"")</f>
        <v/>
      </c>
      <c r="I1012" s="6">
        <f>IF($G1012="正常",$H1012/60,"")</f>
        <v/>
      </c>
      <c r="J1012" s="7">
        <f>IF($G1012="正常",ROUND($H1012/30,0)/2,"")</f>
        <v/>
      </c>
      <c r="K1012" s="7">
        <f>IF($G1012="正常",MIN($J1012,12),"")</f>
        <v/>
      </c>
      <c r="L1012" s="7">
        <f>IF($G1012="正常",MAX($J1012-12,0),"")</f>
        <v/>
      </c>
    </row>
    <row r="1013">
      <c r="A1013" s="3" t="inlineStr">
        <is>
          <t>何开伦</t>
        </is>
      </c>
      <c r="B1013" s="3" t="inlineStr">
        <is>
          <t>8/20</t>
        </is>
      </c>
      <c r="C1013" s="3" t="inlineStr">
        <is>
          <t>四</t>
        </is>
      </c>
      <c r="D1013" s="3" t="inlineStr">
        <is>
          <t>10:20 19:59</t>
        </is>
      </c>
      <c r="E1013" s="4" t="n">
        <v>0.4305555555555556</v>
      </c>
      <c r="F1013" s="4" t="n">
        <v>0.8326388888888889</v>
      </c>
      <c r="G1013" s="3">
        <f>IF($E1013="","空卡",IF($F1013="","单卡","正常"))</f>
        <v/>
      </c>
      <c r="H1013" s="5">
        <f>IF($G1013="正常",ROUND(($F1013-$E1013)*1440,0),"")</f>
        <v/>
      </c>
      <c r="I1013" s="6">
        <f>IF($G1013="正常",$H1013/60,"")</f>
        <v/>
      </c>
      <c r="J1013" s="7">
        <f>IF($G1013="正常",ROUND($H1013/30,0)/2,"")</f>
        <v/>
      </c>
      <c r="K1013" s="7">
        <f>IF($G1013="正常",MIN($J1013,12),"")</f>
        <v/>
      </c>
      <c r="L1013" s="7">
        <f>IF($G1013="正常",MAX($J1013-12,0),"")</f>
        <v/>
      </c>
    </row>
    <row r="1014">
      <c r="A1014" s="3" t="inlineStr">
        <is>
          <t>何开伦</t>
        </is>
      </c>
      <c r="B1014" s="3" t="inlineStr">
        <is>
          <t>8/21</t>
        </is>
      </c>
      <c r="C1014" s="3" t="inlineStr">
        <is>
          <t>五</t>
        </is>
      </c>
      <c r="D1014" s="3" t="inlineStr">
        <is>
          <t>06:56 19:03</t>
        </is>
      </c>
      <c r="E1014" s="4" t="n">
        <v>0.2888888888888889</v>
      </c>
      <c r="F1014" s="4" t="n">
        <v>0.79375</v>
      </c>
      <c r="G1014" s="3">
        <f>IF($E1014="","空卡",IF($F1014="","单卡","正常"))</f>
        <v/>
      </c>
      <c r="H1014" s="5">
        <f>IF($G1014="正常",ROUND(($F1014-$E1014)*1440,0),"")</f>
        <v/>
      </c>
      <c r="I1014" s="6">
        <f>IF($G1014="正常",$H1014/60,"")</f>
        <v/>
      </c>
      <c r="J1014" s="7">
        <f>IF($G1014="正常",ROUND($H1014/30,0)/2,"")</f>
        <v/>
      </c>
      <c r="K1014" s="7">
        <f>IF($G1014="正常",MIN($J1014,12),"")</f>
        <v/>
      </c>
      <c r="L1014" s="7">
        <f>IF($G1014="正常",MAX($J1014-12,0),"")</f>
        <v/>
      </c>
    </row>
    <row r="1015">
      <c r="A1015" s="3" t="inlineStr">
        <is>
          <t>何开伦</t>
        </is>
      </c>
      <c r="B1015" s="3" t="inlineStr">
        <is>
          <t>8/22</t>
        </is>
      </c>
      <c r="C1015" s="3" t="inlineStr">
        <is>
          <t>六</t>
        </is>
      </c>
      <c r="D1015" s="3" t="inlineStr">
        <is>
          <t>06:53 18:28</t>
        </is>
      </c>
      <c r="E1015" s="4" t="n">
        <v>0.2868055555555555</v>
      </c>
      <c r="F1015" s="4" t="n">
        <v>0.7694444444444445</v>
      </c>
      <c r="G1015" s="3">
        <f>IF($E1015="","空卡",IF($F1015="","单卡","正常"))</f>
        <v/>
      </c>
      <c r="H1015" s="5">
        <f>IF($G1015="正常",ROUND(($F1015-$E1015)*1440,0),"")</f>
        <v/>
      </c>
      <c r="I1015" s="6">
        <f>IF($G1015="正常",$H1015/60,"")</f>
        <v/>
      </c>
      <c r="J1015" s="7">
        <f>IF($G1015="正常",ROUND($H1015/30,0)/2,"")</f>
        <v/>
      </c>
      <c r="K1015" s="7">
        <f>IF($G1015="正常",MIN($J1015,12),"")</f>
        <v/>
      </c>
      <c r="L1015" s="7">
        <f>IF($G1015="正常",MAX($J1015-12,0),"")</f>
        <v/>
      </c>
    </row>
    <row r="1016">
      <c r="A1016" s="3" t="inlineStr">
        <is>
          <t>何开伦</t>
        </is>
      </c>
      <c r="B1016" s="3" t="inlineStr">
        <is>
          <t>8/23</t>
        </is>
      </c>
      <c r="C1016" s="3" t="inlineStr">
        <is>
          <t>日</t>
        </is>
      </c>
      <c r="D1016" s="3" t="inlineStr">
        <is>
          <t>06:51 18:03</t>
        </is>
      </c>
      <c r="E1016" s="4" t="n">
        <v>0.2854166666666667</v>
      </c>
      <c r="F1016" s="4" t="n">
        <v>0.7520833333333333</v>
      </c>
      <c r="G1016" s="3">
        <f>IF($E1016="","空卡",IF($F1016="","单卡","正常"))</f>
        <v/>
      </c>
      <c r="H1016" s="5">
        <f>IF($G1016="正常",ROUND(($F1016-$E1016)*1440,0),"")</f>
        <v/>
      </c>
      <c r="I1016" s="6">
        <f>IF($G1016="正常",$H1016/60,"")</f>
        <v/>
      </c>
      <c r="J1016" s="7">
        <f>IF($G1016="正常",ROUND($H1016/30,0)/2,"")</f>
        <v/>
      </c>
      <c r="K1016" s="7">
        <f>IF($G1016="正常",MIN($J1016,12),"")</f>
        <v/>
      </c>
      <c r="L1016" s="7">
        <f>IF($G1016="正常",MAX($J1016-12,0),"")</f>
        <v/>
      </c>
    </row>
    <row r="1017">
      <c r="A1017" s="3" t="inlineStr">
        <is>
          <t>何开伦</t>
        </is>
      </c>
      <c r="B1017" s="3" t="inlineStr">
        <is>
          <t>8/24</t>
        </is>
      </c>
      <c r="C1017" s="3" t="inlineStr">
        <is>
          <t>一</t>
        </is>
      </c>
      <c r="D1017" s="3" t="inlineStr">
        <is>
          <t>06:56 16:34</t>
        </is>
      </c>
      <c r="E1017" s="4" t="n">
        <v>0.2888888888888889</v>
      </c>
      <c r="F1017" s="4" t="n">
        <v>0.6902777777777778</v>
      </c>
      <c r="G1017" s="3">
        <f>IF($E1017="","空卡",IF($F1017="","单卡","正常"))</f>
        <v/>
      </c>
      <c r="H1017" s="5">
        <f>IF($G1017="正常",ROUND(($F1017-$E1017)*1440,0),"")</f>
        <v/>
      </c>
      <c r="I1017" s="6">
        <f>IF($G1017="正常",$H1017/60,"")</f>
        <v/>
      </c>
      <c r="J1017" s="7">
        <f>IF($G1017="正常",ROUND($H1017/30,0)/2,"")</f>
        <v/>
      </c>
      <c r="K1017" s="7">
        <f>IF($G1017="正常",MIN($J1017,12),"")</f>
        <v/>
      </c>
      <c r="L1017" s="7">
        <f>IF($G1017="正常",MAX($J1017-12,0),"")</f>
        <v/>
      </c>
    </row>
    <row r="1018">
      <c r="A1018" s="8" t="inlineStr">
        <is>
          <t>何开伦</t>
        </is>
      </c>
      <c r="B1018" s="8" t="inlineStr">
        <is>
          <t>8/25</t>
        </is>
      </c>
      <c r="C1018" s="8" t="inlineStr">
        <is>
          <t>二</t>
        </is>
      </c>
      <c r="D1018" s="8" t="inlineStr"/>
      <c r="E1018" s="9" t="n"/>
      <c r="F1018" s="9" t="n"/>
      <c r="G1018" s="10">
        <f>IF($E1018="","空卡",IF($F1018="","单卡","正常"))</f>
        <v/>
      </c>
      <c r="H1018" s="11">
        <f>IF($G1018="正常",ROUND(($F1018-$E1018)*1440,0),"")</f>
        <v/>
      </c>
      <c r="I1018" s="12">
        <f>IF($G1018="正常",$H1018/60,"")</f>
        <v/>
      </c>
      <c r="J1018" s="13">
        <f>IF($G1018="正常",ROUND($H1018/30,0)/2,"")</f>
        <v/>
      </c>
      <c r="K1018" s="13">
        <f>IF($G1018="正常",MIN($J1018,12),"")</f>
        <v/>
      </c>
      <c r="L1018" s="13">
        <f>IF($G1018="正常",MAX($J1018-12,0),"")</f>
        <v/>
      </c>
    </row>
    <row r="1019">
      <c r="A1019" s="3" t="inlineStr">
        <is>
          <t>何开伦</t>
        </is>
      </c>
      <c r="B1019" s="3" t="inlineStr">
        <is>
          <t>8/26</t>
        </is>
      </c>
      <c r="C1019" s="3" t="inlineStr">
        <is>
          <t>三</t>
        </is>
      </c>
      <c r="D1019" s="3" t="inlineStr">
        <is>
          <t>07:54 18:55</t>
        </is>
      </c>
      <c r="E1019" s="4" t="n">
        <v>0.3291666666666667</v>
      </c>
      <c r="F1019" s="4" t="n">
        <v>0.7881944444444444</v>
      </c>
      <c r="G1019" s="3">
        <f>IF($E1019="","空卡",IF($F1019="","单卡","正常"))</f>
        <v/>
      </c>
      <c r="H1019" s="5">
        <f>IF($G1019="正常",ROUND(($F1019-$E1019)*1440,0),"")</f>
        <v/>
      </c>
      <c r="I1019" s="6">
        <f>IF($G1019="正常",$H1019/60,"")</f>
        <v/>
      </c>
      <c r="J1019" s="7">
        <f>IF($G1019="正常",ROUND($H1019/30,0)/2,"")</f>
        <v/>
      </c>
      <c r="K1019" s="7">
        <f>IF($G1019="正常",MIN($J1019,12),"")</f>
        <v/>
      </c>
      <c r="L1019" s="7">
        <f>IF($G1019="正常",MAX($J1019-12,0),"")</f>
        <v/>
      </c>
    </row>
    <row r="1020">
      <c r="A1020" s="3" t="inlineStr">
        <is>
          <t>何开伦</t>
        </is>
      </c>
      <c r="B1020" s="3" t="inlineStr">
        <is>
          <t>8/27</t>
        </is>
      </c>
      <c r="C1020" s="3" t="inlineStr">
        <is>
          <t>四</t>
        </is>
      </c>
      <c r="D1020" s="3" t="inlineStr">
        <is>
          <t>07:54 19:01</t>
        </is>
      </c>
      <c r="E1020" s="4" t="n">
        <v>0.3291666666666667</v>
      </c>
      <c r="F1020" s="4" t="n">
        <v>0.7923611111111111</v>
      </c>
      <c r="G1020" s="3">
        <f>IF($E1020="","空卡",IF($F1020="","单卡","正常"))</f>
        <v/>
      </c>
      <c r="H1020" s="5">
        <f>IF($G1020="正常",ROUND(($F1020-$E1020)*1440,0),"")</f>
        <v/>
      </c>
      <c r="I1020" s="6">
        <f>IF($G1020="正常",$H1020/60,"")</f>
        <v/>
      </c>
      <c r="J1020" s="7">
        <f>IF($G1020="正常",ROUND($H1020/30,0)/2,"")</f>
        <v/>
      </c>
      <c r="K1020" s="7">
        <f>IF($G1020="正常",MIN($J1020,12),"")</f>
        <v/>
      </c>
      <c r="L1020" s="7">
        <f>IF($G1020="正常",MAX($J1020-12,0),"")</f>
        <v/>
      </c>
    </row>
    <row r="1021">
      <c r="A1021" s="3" t="inlineStr">
        <is>
          <t>何开伦</t>
        </is>
      </c>
      <c r="B1021" s="3" t="inlineStr">
        <is>
          <t>8/28</t>
        </is>
      </c>
      <c r="C1021" s="3" t="inlineStr">
        <is>
          <t>五</t>
        </is>
      </c>
      <c r="D1021" s="3" t="inlineStr">
        <is>
          <t>07:56 18:34</t>
        </is>
      </c>
      <c r="E1021" s="4" t="n">
        <v>0.3305555555555555</v>
      </c>
      <c r="F1021" s="4" t="n">
        <v>0.7736111111111111</v>
      </c>
      <c r="G1021" s="3">
        <f>IF($E1021="","空卡",IF($F1021="","单卡","正常"))</f>
        <v/>
      </c>
      <c r="H1021" s="5">
        <f>IF($G1021="正常",ROUND(($F1021-$E1021)*1440,0),"")</f>
        <v/>
      </c>
      <c r="I1021" s="6">
        <f>IF($G1021="正常",$H1021/60,"")</f>
        <v/>
      </c>
      <c r="J1021" s="7">
        <f>IF($G1021="正常",ROUND($H1021/30,0)/2,"")</f>
        <v/>
      </c>
      <c r="K1021" s="7">
        <f>IF($G1021="正常",MIN($J1021,12),"")</f>
        <v/>
      </c>
      <c r="L1021" s="7">
        <f>IF($G1021="正常",MAX($J1021-12,0),"")</f>
        <v/>
      </c>
    </row>
    <row r="1022">
      <c r="A1022" s="3" t="inlineStr">
        <is>
          <t>何开伦</t>
        </is>
      </c>
      <c r="B1022" s="3" t="inlineStr">
        <is>
          <t>8/29</t>
        </is>
      </c>
      <c r="C1022" s="3" t="inlineStr">
        <is>
          <t>六</t>
        </is>
      </c>
      <c r="D1022" s="3" t="inlineStr">
        <is>
          <t>07:54 21:58</t>
        </is>
      </c>
      <c r="E1022" s="4" t="n">
        <v>0.3291666666666667</v>
      </c>
      <c r="F1022" s="4" t="n">
        <v>0.9152777777777777</v>
      </c>
      <c r="G1022" s="3">
        <f>IF($E1022="","空卡",IF($F1022="","单卡","正常"))</f>
        <v/>
      </c>
      <c r="H1022" s="5">
        <f>IF($G1022="正常",ROUND(($F1022-$E1022)*1440,0),"")</f>
        <v/>
      </c>
      <c r="I1022" s="6">
        <f>IF($G1022="正常",$H1022/60,"")</f>
        <v/>
      </c>
      <c r="J1022" s="7">
        <f>IF($G1022="正常",ROUND($H1022/30,0)/2,"")</f>
        <v/>
      </c>
      <c r="K1022" s="7">
        <f>IF($G1022="正常",MIN($J1022,12),"")</f>
        <v/>
      </c>
      <c r="L1022" s="7">
        <f>IF($G1022="正常",MAX($J1022-12,0),"")</f>
        <v/>
      </c>
    </row>
    <row r="1023">
      <c r="A1023" s="3" t="inlineStr">
        <is>
          <t>何开伦</t>
        </is>
      </c>
      <c r="B1023" s="3" t="inlineStr">
        <is>
          <t>8/30</t>
        </is>
      </c>
      <c r="C1023" s="3" t="inlineStr">
        <is>
          <t>日</t>
        </is>
      </c>
      <c r="D1023" s="3" t="inlineStr">
        <is>
          <t>07:55 18:44</t>
        </is>
      </c>
      <c r="E1023" s="4" t="n">
        <v>0.3298611111111111</v>
      </c>
      <c r="F1023" s="4" t="n">
        <v>0.7805555555555556</v>
      </c>
      <c r="G1023" s="3">
        <f>IF($E1023="","空卡",IF($F1023="","单卡","正常"))</f>
        <v/>
      </c>
      <c r="H1023" s="5">
        <f>IF($G1023="正常",ROUND(($F1023-$E1023)*1440,0),"")</f>
        <v/>
      </c>
      <c r="I1023" s="6">
        <f>IF($G1023="正常",$H1023/60,"")</f>
        <v/>
      </c>
      <c r="J1023" s="7">
        <f>IF($G1023="正常",ROUND($H1023/30,0)/2,"")</f>
        <v/>
      </c>
      <c r="K1023" s="7">
        <f>IF($G1023="正常",MIN($J1023,12),"")</f>
        <v/>
      </c>
      <c r="L1023" s="7">
        <f>IF($G1023="正常",MAX($J1023-12,0),"")</f>
        <v/>
      </c>
    </row>
    <row r="1024">
      <c r="A1024" s="8" t="inlineStr">
        <is>
          <t>何开伦</t>
        </is>
      </c>
      <c r="B1024" s="8" t="inlineStr">
        <is>
          <t>8/31</t>
        </is>
      </c>
      <c r="C1024" s="8" t="inlineStr">
        <is>
          <t>一</t>
        </is>
      </c>
      <c r="D1024" s="8" t="inlineStr"/>
      <c r="E1024" s="9" t="n"/>
      <c r="F1024" s="9" t="n"/>
      <c r="G1024" s="10">
        <f>IF($E1024="","空卡",IF($F1024="","单卡","正常"))</f>
        <v/>
      </c>
      <c r="H1024" s="11">
        <f>IF($G1024="正常",ROUND(($F1024-$E1024)*1440,0),"")</f>
        <v/>
      </c>
      <c r="I1024" s="12">
        <f>IF($G1024="正常",$H1024/60,"")</f>
        <v/>
      </c>
      <c r="J1024" s="13">
        <f>IF($G1024="正常",ROUND($H1024/30,0)/2,"")</f>
        <v/>
      </c>
      <c r="K1024" s="13">
        <f>IF($G1024="正常",MIN($J1024,12),"")</f>
        <v/>
      </c>
      <c r="L1024" s="13">
        <f>IF($G1024="正常",MAX($J1024-12,0),"")</f>
        <v/>
      </c>
    </row>
    <row r="1025">
      <c r="A1025" s="3" t="inlineStr">
        <is>
          <t>李小俐</t>
        </is>
      </c>
      <c r="B1025" s="3" t="inlineStr">
        <is>
          <t>8/1</t>
        </is>
      </c>
      <c r="C1025" s="3" t="inlineStr">
        <is>
          <t>六</t>
        </is>
      </c>
      <c r="D1025" s="3" t="inlineStr">
        <is>
          <t>07:46 17:00</t>
        </is>
      </c>
      <c r="E1025" s="4" t="n">
        <v>0.3236111111111111</v>
      </c>
      <c r="F1025" s="4" t="n">
        <v>0.7083333333333334</v>
      </c>
      <c r="G1025" s="3">
        <f>IF($E1025="","空卡",IF($F1025="","单卡","正常"))</f>
        <v/>
      </c>
      <c r="H1025" s="5">
        <f>IF($G1025="正常",ROUND(($F1025-$E1025)*1440,0),"")</f>
        <v/>
      </c>
      <c r="I1025" s="6">
        <f>IF($G1025="正常",$H1025/60,"")</f>
        <v/>
      </c>
      <c r="J1025" s="7">
        <f>IF($G1025="正常",ROUND($H1025/30,0)/2,"")</f>
        <v/>
      </c>
      <c r="K1025" s="7">
        <f>IF($G1025="正常",MIN($J1025,12),"")</f>
        <v/>
      </c>
      <c r="L1025" s="7">
        <f>IF($G1025="正常",MAX($J1025-12,0),"")</f>
        <v/>
      </c>
    </row>
    <row r="1026">
      <c r="A1026" s="3" t="inlineStr">
        <is>
          <t>李小俐</t>
        </is>
      </c>
      <c r="B1026" s="3" t="inlineStr">
        <is>
          <t>8/2</t>
        </is>
      </c>
      <c r="C1026" s="3" t="inlineStr">
        <is>
          <t>日</t>
        </is>
      </c>
      <c r="D1026" s="3" t="inlineStr">
        <is>
          <t>07:50 15:00</t>
        </is>
      </c>
      <c r="E1026" s="4" t="n">
        <v>0.3263888888888889</v>
      </c>
      <c r="F1026" s="4" t="n">
        <v>0.625</v>
      </c>
      <c r="G1026" s="3">
        <f>IF($E1026="","空卡",IF($F1026="","单卡","正常"))</f>
        <v/>
      </c>
      <c r="H1026" s="5">
        <f>IF($G1026="正常",ROUND(($F1026-$E1026)*1440,0),"")</f>
        <v/>
      </c>
      <c r="I1026" s="6">
        <f>IF($G1026="正常",$H1026/60,"")</f>
        <v/>
      </c>
      <c r="J1026" s="7">
        <f>IF($G1026="正常",ROUND($H1026/30,0)/2,"")</f>
        <v/>
      </c>
      <c r="K1026" s="7">
        <f>IF($G1026="正常",MIN($J1026,12),"")</f>
        <v/>
      </c>
      <c r="L1026" s="7">
        <f>IF($G1026="正常",MAX($J1026-12,0),"")</f>
        <v/>
      </c>
    </row>
    <row r="1027">
      <c r="A1027" s="3" t="inlineStr">
        <is>
          <t>李小俐</t>
        </is>
      </c>
      <c r="B1027" s="3" t="inlineStr">
        <is>
          <t>8/3</t>
        </is>
      </c>
      <c r="C1027" s="3" t="inlineStr">
        <is>
          <t>一</t>
        </is>
      </c>
      <c r="D1027" s="3" t="inlineStr">
        <is>
          <t>08:20 15:31</t>
        </is>
      </c>
      <c r="E1027" s="4" t="n">
        <v>0.3472222222222222</v>
      </c>
      <c r="F1027" s="4" t="n">
        <v>0.6465277777777778</v>
      </c>
      <c r="G1027" s="3">
        <f>IF($E1027="","空卡",IF($F1027="","单卡","正常"))</f>
        <v/>
      </c>
      <c r="H1027" s="5">
        <f>IF($G1027="正常",ROUND(($F1027-$E1027)*1440,0),"")</f>
        <v/>
      </c>
      <c r="I1027" s="6">
        <f>IF($G1027="正常",$H1027/60,"")</f>
        <v/>
      </c>
      <c r="J1027" s="7">
        <f>IF($G1027="正常",ROUND($H1027/30,0)/2,"")</f>
        <v/>
      </c>
      <c r="K1027" s="7">
        <f>IF($G1027="正常",MIN($J1027,12),"")</f>
        <v/>
      </c>
      <c r="L1027" s="7">
        <f>IF($G1027="正常",MAX($J1027-12,0),"")</f>
        <v/>
      </c>
    </row>
    <row r="1028">
      <c r="A1028" s="3" t="inlineStr">
        <is>
          <t>李小俐</t>
        </is>
      </c>
      <c r="B1028" s="3" t="inlineStr">
        <is>
          <t>8/4</t>
        </is>
      </c>
      <c r="C1028" s="3" t="inlineStr">
        <is>
          <t>二</t>
        </is>
      </c>
      <c r="D1028" s="3" t="inlineStr">
        <is>
          <t>08:47 20:02</t>
        </is>
      </c>
      <c r="E1028" s="4" t="n">
        <v>0.3659722222222222</v>
      </c>
      <c r="F1028" s="4" t="n">
        <v>0.8347222222222223</v>
      </c>
      <c r="G1028" s="3">
        <f>IF($E1028="","空卡",IF($F1028="","单卡","正常"))</f>
        <v/>
      </c>
      <c r="H1028" s="5">
        <f>IF($G1028="正常",ROUND(($F1028-$E1028)*1440,0),"")</f>
        <v/>
      </c>
      <c r="I1028" s="6">
        <f>IF($G1028="正常",$H1028/60,"")</f>
        <v/>
      </c>
      <c r="J1028" s="7">
        <f>IF($G1028="正常",ROUND($H1028/30,0)/2,"")</f>
        <v/>
      </c>
      <c r="K1028" s="7">
        <f>IF($G1028="正常",MIN($J1028,12),"")</f>
        <v/>
      </c>
      <c r="L1028" s="7">
        <f>IF($G1028="正常",MAX($J1028-12,0),"")</f>
        <v/>
      </c>
    </row>
    <row r="1029">
      <c r="A1029" s="3" t="inlineStr">
        <is>
          <t>李小俐</t>
        </is>
      </c>
      <c r="B1029" s="3" t="inlineStr">
        <is>
          <t>8/5</t>
        </is>
      </c>
      <c r="C1029" s="3" t="inlineStr">
        <is>
          <t>三</t>
        </is>
      </c>
      <c r="D1029" s="3" t="inlineStr">
        <is>
          <t>09:46 19:56</t>
        </is>
      </c>
      <c r="E1029" s="4" t="n">
        <v>0.4069444444444444</v>
      </c>
      <c r="F1029" s="4" t="n">
        <v>0.8305555555555556</v>
      </c>
      <c r="G1029" s="3">
        <f>IF($E1029="","空卡",IF($F1029="","单卡","正常"))</f>
        <v/>
      </c>
      <c r="H1029" s="5">
        <f>IF($G1029="正常",ROUND(($F1029-$E1029)*1440,0),"")</f>
        <v/>
      </c>
      <c r="I1029" s="6">
        <f>IF($G1029="正常",$H1029/60,"")</f>
        <v/>
      </c>
      <c r="J1029" s="7">
        <f>IF($G1029="正常",ROUND($H1029/30,0)/2,"")</f>
        <v/>
      </c>
      <c r="K1029" s="7">
        <f>IF($G1029="正常",MIN($J1029,12),"")</f>
        <v/>
      </c>
      <c r="L1029" s="7">
        <f>IF($G1029="正常",MAX($J1029-12,0),"")</f>
        <v/>
      </c>
    </row>
    <row r="1030">
      <c r="A1030" s="3" t="inlineStr">
        <is>
          <t>李小俐</t>
        </is>
      </c>
      <c r="B1030" s="3" t="inlineStr">
        <is>
          <t>8/6</t>
        </is>
      </c>
      <c r="C1030" s="3" t="inlineStr">
        <is>
          <t>四</t>
        </is>
      </c>
      <c r="D1030" s="3" t="inlineStr">
        <is>
          <t>08:43 19:04</t>
        </is>
      </c>
      <c r="E1030" s="4" t="n">
        <v>0.3631944444444444</v>
      </c>
      <c r="F1030" s="4" t="n">
        <v>0.7944444444444444</v>
      </c>
      <c r="G1030" s="3">
        <f>IF($E1030="","空卡",IF($F1030="","单卡","正常"))</f>
        <v/>
      </c>
      <c r="H1030" s="5">
        <f>IF($G1030="正常",ROUND(($F1030-$E1030)*1440,0),"")</f>
        <v/>
      </c>
      <c r="I1030" s="6">
        <f>IF($G1030="正常",$H1030/60,"")</f>
        <v/>
      </c>
      <c r="J1030" s="7">
        <f>IF($G1030="正常",ROUND($H1030/30,0)/2,"")</f>
        <v/>
      </c>
      <c r="K1030" s="7">
        <f>IF($G1030="正常",MIN($J1030,12),"")</f>
        <v/>
      </c>
      <c r="L1030" s="7">
        <f>IF($G1030="正常",MAX($J1030-12,0),"")</f>
        <v/>
      </c>
    </row>
    <row r="1031">
      <c r="A1031" s="3" t="inlineStr">
        <is>
          <t>李小俐</t>
        </is>
      </c>
      <c r="B1031" s="3" t="inlineStr">
        <is>
          <t>8/7</t>
        </is>
      </c>
      <c r="C1031" s="3" t="inlineStr">
        <is>
          <t>五</t>
        </is>
      </c>
      <c r="D1031" s="3" t="inlineStr">
        <is>
          <t>06:57 19:29</t>
        </is>
      </c>
      <c r="E1031" s="4" t="n">
        <v>0.2895833333333334</v>
      </c>
      <c r="F1031" s="4" t="n">
        <v>0.8118055555555556</v>
      </c>
      <c r="G1031" s="3">
        <f>IF($E1031="","空卡",IF($F1031="","单卡","正常"))</f>
        <v/>
      </c>
      <c r="H1031" s="5">
        <f>IF($G1031="正常",ROUND(($F1031-$E1031)*1440,0),"")</f>
        <v/>
      </c>
      <c r="I1031" s="6">
        <f>IF($G1031="正常",$H1031/60,"")</f>
        <v/>
      </c>
      <c r="J1031" s="7">
        <f>IF($G1031="正常",ROUND($H1031/30,0)/2,"")</f>
        <v/>
      </c>
      <c r="K1031" s="7">
        <f>IF($G1031="正常",MIN($J1031,12),"")</f>
        <v/>
      </c>
      <c r="L1031" s="7">
        <f>IF($G1031="正常",MAX($J1031-12,0),"")</f>
        <v/>
      </c>
    </row>
    <row r="1032">
      <c r="A1032" s="3" t="inlineStr">
        <is>
          <t>李小俐</t>
        </is>
      </c>
      <c r="B1032" s="3" t="inlineStr">
        <is>
          <t>8/8</t>
        </is>
      </c>
      <c r="C1032" s="3" t="inlineStr">
        <is>
          <t>六</t>
        </is>
      </c>
      <c r="D1032" s="3" t="inlineStr">
        <is>
          <t>07:50 19:39</t>
        </is>
      </c>
      <c r="E1032" s="4" t="n">
        <v>0.3263888888888889</v>
      </c>
      <c r="F1032" s="4" t="n">
        <v>0.81875</v>
      </c>
      <c r="G1032" s="3">
        <f>IF($E1032="","空卡",IF($F1032="","单卡","正常"))</f>
        <v/>
      </c>
      <c r="H1032" s="5">
        <f>IF($G1032="正常",ROUND(($F1032-$E1032)*1440,0),"")</f>
        <v/>
      </c>
      <c r="I1032" s="6">
        <f>IF($G1032="正常",$H1032/60,"")</f>
        <v/>
      </c>
      <c r="J1032" s="7">
        <f>IF($G1032="正常",ROUND($H1032/30,0)/2,"")</f>
        <v/>
      </c>
      <c r="K1032" s="7">
        <f>IF($G1032="正常",MIN($J1032,12),"")</f>
        <v/>
      </c>
      <c r="L1032" s="7">
        <f>IF($G1032="正常",MAX($J1032-12,0),"")</f>
        <v/>
      </c>
    </row>
    <row r="1033">
      <c r="A1033" s="3" t="inlineStr">
        <is>
          <t>李小俐</t>
        </is>
      </c>
      <c r="B1033" s="3" t="inlineStr">
        <is>
          <t>8/9</t>
        </is>
      </c>
      <c r="C1033" s="3" t="inlineStr">
        <is>
          <t>日</t>
        </is>
      </c>
      <c r="D1033" s="3" t="inlineStr">
        <is>
          <t>07:20 19:33</t>
        </is>
      </c>
      <c r="E1033" s="4" t="n">
        <v>0.3055555555555556</v>
      </c>
      <c r="F1033" s="4" t="n">
        <v>0.8145833333333333</v>
      </c>
      <c r="G1033" s="3">
        <f>IF($E1033="","空卡",IF($F1033="","单卡","正常"))</f>
        <v/>
      </c>
      <c r="H1033" s="5">
        <f>IF($G1033="正常",ROUND(($F1033-$E1033)*1440,0),"")</f>
        <v/>
      </c>
      <c r="I1033" s="6">
        <f>IF($G1033="正常",$H1033/60,"")</f>
        <v/>
      </c>
      <c r="J1033" s="7">
        <f>IF($G1033="正常",ROUND($H1033/30,0)/2,"")</f>
        <v/>
      </c>
      <c r="K1033" s="7">
        <f>IF($G1033="正常",MIN($J1033,12),"")</f>
        <v/>
      </c>
      <c r="L1033" s="7">
        <f>IF($G1033="正常",MAX($J1033-12,0),"")</f>
        <v/>
      </c>
    </row>
    <row r="1034">
      <c r="A1034" s="3" t="inlineStr">
        <is>
          <t>李小俐</t>
        </is>
      </c>
      <c r="B1034" s="3" t="inlineStr">
        <is>
          <t>8/10</t>
        </is>
      </c>
      <c r="C1034" s="3" t="inlineStr">
        <is>
          <t>一</t>
        </is>
      </c>
      <c r="D1034" s="3" t="inlineStr">
        <is>
          <t>08:18 19:56</t>
        </is>
      </c>
      <c r="E1034" s="4" t="n">
        <v>0.3458333333333333</v>
      </c>
      <c r="F1034" s="4" t="n">
        <v>0.8305555555555556</v>
      </c>
      <c r="G1034" s="3">
        <f>IF($E1034="","空卡",IF($F1034="","单卡","正常"))</f>
        <v/>
      </c>
      <c r="H1034" s="5">
        <f>IF($G1034="正常",ROUND(($F1034-$E1034)*1440,0),"")</f>
        <v/>
      </c>
      <c r="I1034" s="6">
        <f>IF($G1034="正常",$H1034/60,"")</f>
        <v/>
      </c>
      <c r="J1034" s="7">
        <f>IF($G1034="正常",ROUND($H1034/30,0)/2,"")</f>
        <v/>
      </c>
      <c r="K1034" s="7">
        <f>IF($G1034="正常",MIN($J1034,12),"")</f>
        <v/>
      </c>
      <c r="L1034" s="7">
        <f>IF($G1034="正常",MAX($J1034-12,0),"")</f>
        <v/>
      </c>
    </row>
    <row r="1035">
      <c r="A1035" s="3" t="inlineStr">
        <is>
          <t>李小俐</t>
        </is>
      </c>
      <c r="B1035" s="3" t="inlineStr">
        <is>
          <t>8/11</t>
        </is>
      </c>
      <c r="C1035" s="3" t="inlineStr">
        <is>
          <t>二</t>
        </is>
      </c>
      <c r="D1035" s="3" t="inlineStr">
        <is>
          <t>08:22 18:06</t>
        </is>
      </c>
      <c r="E1035" s="4" t="n">
        <v>0.3486111111111111</v>
      </c>
      <c r="F1035" s="4" t="n">
        <v>0.7541666666666667</v>
      </c>
      <c r="G1035" s="3">
        <f>IF($E1035="","空卡",IF($F1035="","单卡","正常"))</f>
        <v/>
      </c>
      <c r="H1035" s="5">
        <f>IF($G1035="正常",ROUND(($F1035-$E1035)*1440,0),"")</f>
        <v/>
      </c>
      <c r="I1035" s="6">
        <f>IF($G1035="正常",$H1035/60,"")</f>
        <v/>
      </c>
      <c r="J1035" s="7">
        <f>IF($G1035="正常",ROUND($H1035/30,0)/2,"")</f>
        <v/>
      </c>
      <c r="K1035" s="7">
        <f>IF($G1035="正常",MIN($J1035,12),"")</f>
        <v/>
      </c>
      <c r="L1035" s="7">
        <f>IF($G1035="正常",MAX($J1035-12,0),"")</f>
        <v/>
      </c>
    </row>
    <row r="1036">
      <c r="A1036" s="3" t="inlineStr">
        <is>
          <t>李小俐</t>
        </is>
      </c>
      <c r="B1036" s="3" t="inlineStr">
        <is>
          <t>8/12</t>
        </is>
      </c>
      <c r="C1036" s="3" t="inlineStr">
        <is>
          <t>三</t>
        </is>
      </c>
      <c r="D1036" s="3" t="inlineStr">
        <is>
          <t>08:20 18:34</t>
        </is>
      </c>
      <c r="E1036" s="4" t="n">
        <v>0.3472222222222222</v>
      </c>
      <c r="F1036" s="4" t="n">
        <v>0.7736111111111111</v>
      </c>
      <c r="G1036" s="3">
        <f>IF($E1036="","空卡",IF($F1036="","单卡","正常"))</f>
        <v/>
      </c>
      <c r="H1036" s="5">
        <f>IF($G1036="正常",ROUND(($F1036-$E1036)*1440,0),"")</f>
        <v/>
      </c>
      <c r="I1036" s="6">
        <f>IF($G1036="正常",$H1036/60,"")</f>
        <v/>
      </c>
      <c r="J1036" s="7">
        <f>IF($G1036="正常",ROUND($H1036/30,0)/2,"")</f>
        <v/>
      </c>
      <c r="K1036" s="7">
        <f>IF($G1036="正常",MIN($J1036,12),"")</f>
        <v/>
      </c>
      <c r="L1036" s="7">
        <f>IF($G1036="正常",MAX($J1036-12,0),"")</f>
        <v/>
      </c>
    </row>
    <row r="1037">
      <c r="A1037" s="3" t="inlineStr">
        <is>
          <t>李小俐</t>
        </is>
      </c>
      <c r="B1037" s="3" t="inlineStr">
        <is>
          <t>8/13</t>
        </is>
      </c>
      <c r="C1037" s="3" t="inlineStr">
        <is>
          <t>四</t>
        </is>
      </c>
      <c r="D1037" s="3" t="inlineStr">
        <is>
          <t>09:52 19:05</t>
        </is>
      </c>
      <c r="E1037" s="4" t="n">
        <v>0.4111111111111111</v>
      </c>
      <c r="F1037" s="4" t="n">
        <v>0.7951388888888888</v>
      </c>
      <c r="G1037" s="3">
        <f>IF($E1037="","空卡",IF($F1037="","单卡","正常"))</f>
        <v/>
      </c>
      <c r="H1037" s="5">
        <f>IF($G1037="正常",ROUND(($F1037-$E1037)*1440,0),"")</f>
        <v/>
      </c>
      <c r="I1037" s="6">
        <f>IF($G1037="正常",$H1037/60,"")</f>
        <v/>
      </c>
      <c r="J1037" s="7">
        <f>IF($G1037="正常",ROUND($H1037/30,0)/2,"")</f>
        <v/>
      </c>
      <c r="K1037" s="7">
        <f>IF($G1037="正常",MIN($J1037,12),"")</f>
        <v/>
      </c>
      <c r="L1037" s="7">
        <f>IF($G1037="正常",MAX($J1037-12,0),"")</f>
        <v/>
      </c>
    </row>
    <row r="1038">
      <c r="A1038" s="3" t="inlineStr">
        <is>
          <t>李小俐</t>
        </is>
      </c>
      <c r="B1038" s="3" t="inlineStr">
        <is>
          <t>8/14</t>
        </is>
      </c>
      <c r="C1038" s="3" t="inlineStr">
        <is>
          <t>五</t>
        </is>
      </c>
      <c r="D1038" s="3" t="inlineStr">
        <is>
          <t>06:51 20:58</t>
        </is>
      </c>
      <c r="E1038" s="4" t="n">
        <v>0.2854166666666667</v>
      </c>
      <c r="F1038" s="4" t="n">
        <v>0.8736111111111111</v>
      </c>
      <c r="G1038" s="3">
        <f>IF($E1038="","空卡",IF($F1038="","单卡","正常"))</f>
        <v/>
      </c>
      <c r="H1038" s="5">
        <f>IF($G1038="正常",ROUND(($F1038-$E1038)*1440,0),"")</f>
        <v/>
      </c>
      <c r="I1038" s="6">
        <f>IF($G1038="正常",$H1038/60,"")</f>
        <v/>
      </c>
      <c r="J1038" s="7">
        <f>IF($G1038="正常",ROUND($H1038/30,0)/2,"")</f>
        <v/>
      </c>
      <c r="K1038" s="7">
        <f>IF($G1038="正常",MIN($J1038,12),"")</f>
        <v/>
      </c>
      <c r="L1038" s="7">
        <f>IF($G1038="正常",MAX($J1038-12,0),"")</f>
        <v/>
      </c>
    </row>
    <row r="1039">
      <c r="A1039" s="3" t="inlineStr">
        <is>
          <t>李小俐</t>
        </is>
      </c>
      <c r="B1039" s="3" t="inlineStr">
        <is>
          <t>8/15</t>
        </is>
      </c>
      <c r="C1039" s="3" t="inlineStr">
        <is>
          <t>六</t>
        </is>
      </c>
      <c r="D1039" s="3" t="inlineStr">
        <is>
          <t>06:55 19:01</t>
        </is>
      </c>
      <c r="E1039" s="4" t="n">
        <v>0.2881944444444444</v>
      </c>
      <c r="F1039" s="4" t="n">
        <v>0.7923611111111111</v>
      </c>
      <c r="G1039" s="3">
        <f>IF($E1039="","空卡",IF($F1039="","单卡","正常"))</f>
        <v/>
      </c>
      <c r="H1039" s="5">
        <f>IF($G1039="正常",ROUND(($F1039-$E1039)*1440,0),"")</f>
        <v/>
      </c>
      <c r="I1039" s="6">
        <f>IF($G1039="正常",$H1039/60,"")</f>
        <v/>
      </c>
      <c r="J1039" s="7">
        <f>IF($G1039="正常",ROUND($H1039/30,0)/2,"")</f>
        <v/>
      </c>
      <c r="K1039" s="7">
        <f>IF($G1039="正常",MIN($J1039,12),"")</f>
        <v/>
      </c>
      <c r="L1039" s="7">
        <f>IF($G1039="正常",MAX($J1039-12,0),"")</f>
        <v/>
      </c>
    </row>
    <row r="1040">
      <c r="A1040" s="3" t="inlineStr">
        <is>
          <t>李小俐</t>
        </is>
      </c>
      <c r="B1040" s="3" t="inlineStr">
        <is>
          <t>8/16</t>
        </is>
      </c>
      <c r="C1040" s="3" t="inlineStr">
        <is>
          <t>日</t>
        </is>
      </c>
      <c r="D1040" s="3" t="inlineStr">
        <is>
          <t>07:52 18:19</t>
        </is>
      </c>
      <c r="E1040" s="4" t="n">
        <v>0.3277777777777778</v>
      </c>
      <c r="F1040" s="4" t="n">
        <v>0.7631944444444444</v>
      </c>
      <c r="G1040" s="3">
        <f>IF($E1040="","空卡",IF($F1040="","单卡","正常"))</f>
        <v/>
      </c>
      <c r="H1040" s="5">
        <f>IF($G1040="正常",ROUND(($F1040-$E1040)*1440,0),"")</f>
        <v/>
      </c>
      <c r="I1040" s="6">
        <f>IF($G1040="正常",$H1040/60,"")</f>
        <v/>
      </c>
      <c r="J1040" s="7">
        <f>IF($G1040="正常",ROUND($H1040/30,0)/2,"")</f>
        <v/>
      </c>
      <c r="K1040" s="7">
        <f>IF($G1040="正常",MIN($J1040,12),"")</f>
        <v/>
      </c>
      <c r="L1040" s="7">
        <f>IF($G1040="正常",MAX($J1040-12,0),"")</f>
        <v/>
      </c>
    </row>
    <row r="1041">
      <c r="A1041" s="3" t="inlineStr">
        <is>
          <t>李小俐</t>
        </is>
      </c>
      <c r="B1041" s="3" t="inlineStr">
        <is>
          <t>8/17</t>
        </is>
      </c>
      <c r="C1041" s="3" t="inlineStr">
        <is>
          <t>一</t>
        </is>
      </c>
      <c r="D1041" s="3" t="inlineStr">
        <is>
          <t>07:51 19:57</t>
        </is>
      </c>
      <c r="E1041" s="4" t="n">
        <v>0.3270833333333333</v>
      </c>
      <c r="F1041" s="4" t="n">
        <v>0.83125</v>
      </c>
      <c r="G1041" s="3">
        <f>IF($E1041="","空卡",IF($F1041="","单卡","正常"))</f>
        <v/>
      </c>
      <c r="H1041" s="5">
        <f>IF($G1041="正常",ROUND(($F1041-$E1041)*1440,0),"")</f>
        <v/>
      </c>
      <c r="I1041" s="6">
        <f>IF($G1041="正常",$H1041/60,"")</f>
        <v/>
      </c>
      <c r="J1041" s="7">
        <f>IF($G1041="正常",ROUND($H1041/30,0)/2,"")</f>
        <v/>
      </c>
      <c r="K1041" s="7">
        <f>IF($G1041="正常",MIN($J1041,12),"")</f>
        <v/>
      </c>
      <c r="L1041" s="7">
        <f>IF($G1041="正常",MAX($J1041-12,0),"")</f>
        <v/>
      </c>
    </row>
    <row r="1042">
      <c r="A1042" s="3" t="inlineStr">
        <is>
          <t>李小俐</t>
        </is>
      </c>
      <c r="B1042" s="3" t="inlineStr">
        <is>
          <t>8/18</t>
        </is>
      </c>
      <c r="C1042" s="3" t="inlineStr">
        <is>
          <t>二</t>
        </is>
      </c>
      <c r="D1042" s="3" t="inlineStr">
        <is>
          <t>07:54 18:56</t>
        </is>
      </c>
      <c r="E1042" s="4" t="n">
        <v>0.3291666666666667</v>
      </c>
      <c r="F1042" s="4" t="n">
        <v>0.7888888888888889</v>
      </c>
      <c r="G1042" s="3">
        <f>IF($E1042="","空卡",IF($F1042="","单卡","正常"))</f>
        <v/>
      </c>
      <c r="H1042" s="5">
        <f>IF($G1042="正常",ROUND(($F1042-$E1042)*1440,0),"")</f>
        <v/>
      </c>
      <c r="I1042" s="6">
        <f>IF($G1042="正常",$H1042/60,"")</f>
        <v/>
      </c>
      <c r="J1042" s="7">
        <f>IF($G1042="正常",ROUND($H1042/30,0)/2,"")</f>
        <v/>
      </c>
      <c r="K1042" s="7">
        <f>IF($G1042="正常",MIN($J1042,12),"")</f>
        <v/>
      </c>
      <c r="L1042" s="7">
        <f>IF($G1042="正常",MAX($J1042-12,0),"")</f>
        <v/>
      </c>
    </row>
    <row r="1043">
      <c r="A1043" s="3" t="inlineStr">
        <is>
          <t>李小俐</t>
        </is>
      </c>
      <c r="B1043" s="3" t="inlineStr">
        <is>
          <t>8/19</t>
        </is>
      </c>
      <c r="C1043" s="3" t="inlineStr">
        <is>
          <t>三</t>
        </is>
      </c>
      <c r="D1043" s="3" t="inlineStr">
        <is>
          <t>08:55 20:29</t>
        </is>
      </c>
      <c r="E1043" s="4" t="n">
        <v>0.3715277777777778</v>
      </c>
      <c r="F1043" s="4" t="n">
        <v>0.8534722222222222</v>
      </c>
      <c r="G1043" s="3">
        <f>IF($E1043="","空卡",IF($F1043="","单卡","正常"))</f>
        <v/>
      </c>
      <c r="H1043" s="5">
        <f>IF($G1043="正常",ROUND(($F1043-$E1043)*1440,0),"")</f>
        <v/>
      </c>
      <c r="I1043" s="6">
        <f>IF($G1043="正常",$H1043/60,"")</f>
        <v/>
      </c>
      <c r="J1043" s="7">
        <f>IF($G1043="正常",ROUND($H1043/30,0)/2,"")</f>
        <v/>
      </c>
      <c r="K1043" s="7">
        <f>IF($G1043="正常",MIN($J1043,12),"")</f>
        <v/>
      </c>
      <c r="L1043" s="7">
        <f>IF($G1043="正常",MAX($J1043-12,0),"")</f>
        <v/>
      </c>
    </row>
    <row r="1044">
      <c r="A1044" s="3" t="inlineStr">
        <is>
          <t>李小俐</t>
        </is>
      </c>
      <c r="B1044" s="3" t="inlineStr">
        <is>
          <t>8/20</t>
        </is>
      </c>
      <c r="C1044" s="3" t="inlineStr">
        <is>
          <t>四</t>
        </is>
      </c>
      <c r="D1044" s="3" t="inlineStr">
        <is>
          <t>08:42 20:00</t>
        </is>
      </c>
      <c r="E1044" s="4" t="n">
        <v>0.3625</v>
      </c>
      <c r="F1044" s="4" t="n">
        <v>0.8333333333333334</v>
      </c>
      <c r="G1044" s="3">
        <f>IF($E1044="","空卡",IF($F1044="","单卡","正常"))</f>
        <v/>
      </c>
      <c r="H1044" s="5">
        <f>IF($G1044="正常",ROUND(($F1044-$E1044)*1440,0),"")</f>
        <v/>
      </c>
      <c r="I1044" s="6">
        <f>IF($G1044="正常",$H1044/60,"")</f>
        <v/>
      </c>
      <c r="J1044" s="7">
        <f>IF($G1044="正常",ROUND($H1044/30,0)/2,"")</f>
        <v/>
      </c>
      <c r="K1044" s="7">
        <f>IF($G1044="正常",MIN($J1044,12),"")</f>
        <v/>
      </c>
      <c r="L1044" s="7">
        <f>IF($G1044="正常",MAX($J1044-12,0),"")</f>
        <v/>
      </c>
    </row>
    <row r="1045">
      <c r="A1045" s="3" t="inlineStr">
        <is>
          <t>李小俐</t>
        </is>
      </c>
      <c r="B1045" s="3" t="inlineStr">
        <is>
          <t>8/21</t>
        </is>
      </c>
      <c r="C1045" s="3" t="inlineStr">
        <is>
          <t>五</t>
        </is>
      </c>
      <c r="D1045" s="3" t="inlineStr">
        <is>
          <t>06:51 19:02</t>
        </is>
      </c>
      <c r="E1045" s="4" t="n">
        <v>0.2854166666666667</v>
      </c>
      <c r="F1045" s="4" t="n">
        <v>0.7930555555555555</v>
      </c>
      <c r="G1045" s="3">
        <f>IF($E1045="","空卡",IF($F1045="","单卡","正常"))</f>
        <v/>
      </c>
      <c r="H1045" s="5">
        <f>IF($G1045="正常",ROUND(($F1045-$E1045)*1440,0),"")</f>
        <v/>
      </c>
      <c r="I1045" s="6">
        <f>IF($G1045="正常",$H1045/60,"")</f>
        <v/>
      </c>
      <c r="J1045" s="7">
        <f>IF($G1045="正常",ROUND($H1045/30,0)/2,"")</f>
        <v/>
      </c>
      <c r="K1045" s="7">
        <f>IF($G1045="正常",MIN($J1045,12),"")</f>
        <v/>
      </c>
      <c r="L1045" s="7">
        <f>IF($G1045="正常",MAX($J1045-12,0),"")</f>
        <v/>
      </c>
    </row>
    <row r="1046">
      <c r="A1046" s="3" t="inlineStr">
        <is>
          <t>李小俐</t>
        </is>
      </c>
      <c r="B1046" s="3" t="inlineStr">
        <is>
          <t>8/22</t>
        </is>
      </c>
      <c r="C1046" s="3" t="inlineStr">
        <is>
          <t>六</t>
        </is>
      </c>
      <c r="D1046" s="3" t="inlineStr">
        <is>
          <t>06:54 18:30</t>
        </is>
      </c>
      <c r="E1046" s="4" t="n">
        <v>0.2875</v>
      </c>
      <c r="F1046" s="4" t="n">
        <v>0.7708333333333334</v>
      </c>
      <c r="G1046" s="3">
        <f>IF($E1046="","空卡",IF($F1046="","单卡","正常"))</f>
        <v/>
      </c>
      <c r="H1046" s="5">
        <f>IF($G1046="正常",ROUND(($F1046-$E1046)*1440,0),"")</f>
        <v/>
      </c>
      <c r="I1046" s="6">
        <f>IF($G1046="正常",$H1046/60,"")</f>
        <v/>
      </c>
      <c r="J1046" s="7">
        <f>IF($G1046="正常",ROUND($H1046/30,0)/2,"")</f>
        <v/>
      </c>
      <c r="K1046" s="7">
        <f>IF($G1046="正常",MIN($J1046,12),"")</f>
        <v/>
      </c>
      <c r="L1046" s="7">
        <f>IF($G1046="正常",MAX($J1046-12,0),"")</f>
        <v/>
      </c>
    </row>
    <row r="1047">
      <c r="A1047" s="3" t="inlineStr">
        <is>
          <t>李小俐</t>
        </is>
      </c>
      <c r="B1047" s="3" t="inlineStr">
        <is>
          <t>8/23</t>
        </is>
      </c>
      <c r="C1047" s="3" t="inlineStr">
        <is>
          <t>日</t>
        </is>
      </c>
      <c r="D1047" s="3" t="inlineStr">
        <is>
          <t>06:50 17:59</t>
        </is>
      </c>
      <c r="E1047" s="4" t="n">
        <v>0.2847222222222222</v>
      </c>
      <c r="F1047" s="4" t="n">
        <v>0.7493055555555556</v>
      </c>
      <c r="G1047" s="3">
        <f>IF($E1047="","空卡",IF($F1047="","单卡","正常"))</f>
        <v/>
      </c>
      <c r="H1047" s="5">
        <f>IF($G1047="正常",ROUND(($F1047-$E1047)*1440,0),"")</f>
        <v/>
      </c>
      <c r="I1047" s="6">
        <f>IF($G1047="正常",$H1047/60,"")</f>
        <v/>
      </c>
      <c r="J1047" s="7">
        <f>IF($G1047="正常",ROUND($H1047/30,0)/2,"")</f>
        <v/>
      </c>
      <c r="K1047" s="7">
        <f>IF($G1047="正常",MIN($J1047,12),"")</f>
        <v/>
      </c>
      <c r="L1047" s="7">
        <f>IF($G1047="正常",MAX($J1047-12,0),"")</f>
        <v/>
      </c>
    </row>
    <row r="1048">
      <c r="A1048" s="3" t="inlineStr">
        <is>
          <t>李小俐</t>
        </is>
      </c>
      <c r="B1048" s="3" t="inlineStr">
        <is>
          <t>8/24</t>
        </is>
      </c>
      <c r="C1048" s="3" t="inlineStr">
        <is>
          <t>一</t>
        </is>
      </c>
      <c r="D1048" s="3" t="inlineStr">
        <is>
          <t>06:51 16:37</t>
        </is>
      </c>
      <c r="E1048" s="4" t="n">
        <v>0.2854166666666667</v>
      </c>
      <c r="F1048" s="4" t="n">
        <v>0.6923611111111111</v>
      </c>
      <c r="G1048" s="3">
        <f>IF($E1048="","空卡",IF($F1048="","单卡","正常"))</f>
        <v/>
      </c>
      <c r="H1048" s="5">
        <f>IF($G1048="正常",ROUND(($F1048-$E1048)*1440,0),"")</f>
        <v/>
      </c>
      <c r="I1048" s="6">
        <f>IF($G1048="正常",$H1048/60,"")</f>
        <v/>
      </c>
      <c r="J1048" s="7">
        <f>IF($G1048="正常",ROUND($H1048/30,0)/2,"")</f>
        <v/>
      </c>
      <c r="K1048" s="7">
        <f>IF($G1048="正常",MIN($J1048,12),"")</f>
        <v/>
      </c>
      <c r="L1048" s="7">
        <f>IF($G1048="正常",MAX($J1048-12,0),"")</f>
        <v/>
      </c>
    </row>
    <row r="1049">
      <c r="A1049" s="3" t="inlineStr">
        <is>
          <t>李小俐</t>
        </is>
      </c>
      <c r="B1049" s="3" t="inlineStr">
        <is>
          <t>8/25</t>
        </is>
      </c>
      <c r="C1049" s="3" t="inlineStr">
        <is>
          <t>二</t>
        </is>
      </c>
      <c r="D1049" s="3" t="inlineStr">
        <is>
          <t>07:56 18:37</t>
        </is>
      </c>
      <c r="E1049" s="4" t="n">
        <v>0.3305555555555555</v>
      </c>
      <c r="F1049" s="4" t="n">
        <v>0.7756944444444445</v>
      </c>
      <c r="G1049" s="3">
        <f>IF($E1049="","空卡",IF($F1049="","单卡","正常"))</f>
        <v/>
      </c>
      <c r="H1049" s="5">
        <f>IF($G1049="正常",ROUND(($F1049-$E1049)*1440,0),"")</f>
        <v/>
      </c>
      <c r="I1049" s="6">
        <f>IF($G1049="正常",$H1049/60,"")</f>
        <v/>
      </c>
      <c r="J1049" s="7">
        <f>IF($G1049="正常",ROUND($H1049/30,0)/2,"")</f>
        <v/>
      </c>
      <c r="K1049" s="7">
        <f>IF($G1049="正常",MIN($J1049,12),"")</f>
        <v/>
      </c>
      <c r="L1049" s="7">
        <f>IF($G1049="正常",MAX($J1049-12,0),"")</f>
        <v/>
      </c>
    </row>
    <row r="1050">
      <c r="A1050" s="3" t="inlineStr">
        <is>
          <t>李小俐</t>
        </is>
      </c>
      <c r="B1050" s="3" t="inlineStr">
        <is>
          <t>8/26</t>
        </is>
      </c>
      <c r="C1050" s="3" t="inlineStr">
        <is>
          <t>三</t>
        </is>
      </c>
      <c r="D1050" s="3" t="inlineStr">
        <is>
          <t>07:51 18:56</t>
        </is>
      </c>
      <c r="E1050" s="4" t="n">
        <v>0.3270833333333333</v>
      </c>
      <c r="F1050" s="4" t="n">
        <v>0.7888888888888889</v>
      </c>
      <c r="G1050" s="3">
        <f>IF($E1050="","空卡",IF($F1050="","单卡","正常"))</f>
        <v/>
      </c>
      <c r="H1050" s="5">
        <f>IF($G1050="正常",ROUND(($F1050-$E1050)*1440,0),"")</f>
        <v/>
      </c>
      <c r="I1050" s="6">
        <f>IF($G1050="正常",$H1050/60,"")</f>
        <v/>
      </c>
      <c r="J1050" s="7">
        <f>IF($G1050="正常",ROUND($H1050/30,0)/2,"")</f>
        <v/>
      </c>
      <c r="K1050" s="7">
        <f>IF($G1050="正常",MIN($J1050,12),"")</f>
        <v/>
      </c>
      <c r="L1050" s="7">
        <f>IF($G1050="正常",MAX($J1050-12,0),"")</f>
        <v/>
      </c>
    </row>
    <row r="1051">
      <c r="A1051" s="3" t="inlineStr">
        <is>
          <t>李小俐</t>
        </is>
      </c>
      <c r="B1051" s="3" t="inlineStr">
        <is>
          <t>8/27</t>
        </is>
      </c>
      <c r="C1051" s="3" t="inlineStr">
        <is>
          <t>四</t>
        </is>
      </c>
      <c r="D1051" s="3" t="inlineStr">
        <is>
          <t>07:51 19:07</t>
        </is>
      </c>
      <c r="E1051" s="4" t="n">
        <v>0.3270833333333333</v>
      </c>
      <c r="F1051" s="4" t="n">
        <v>0.7965277777777777</v>
      </c>
      <c r="G1051" s="3">
        <f>IF($E1051="","空卡",IF($F1051="","单卡","正常"))</f>
        <v/>
      </c>
      <c r="H1051" s="5">
        <f>IF($G1051="正常",ROUND(($F1051-$E1051)*1440,0),"")</f>
        <v/>
      </c>
      <c r="I1051" s="6">
        <f>IF($G1051="正常",$H1051/60,"")</f>
        <v/>
      </c>
      <c r="J1051" s="7">
        <f>IF($G1051="正常",ROUND($H1051/30,0)/2,"")</f>
        <v/>
      </c>
      <c r="K1051" s="7">
        <f>IF($G1051="正常",MIN($J1051,12),"")</f>
        <v/>
      </c>
      <c r="L1051" s="7">
        <f>IF($G1051="正常",MAX($J1051-12,0),"")</f>
        <v/>
      </c>
    </row>
    <row r="1052">
      <c r="A1052" s="3" t="inlineStr">
        <is>
          <t>李小俐</t>
        </is>
      </c>
      <c r="B1052" s="3" t="inlineStr">
        <is>
          <t>8/28</t>
        </is>
      </c>
      <c r="C1052" s="3" t="inlineStr">
        <is>
          <t>五</t>
        </is>
      </c>
      <c r="D1052" s="3" t="inlineStr">
        <is>
          <t>07:51 18:28</t>
        </is>
      </c>
      <c r="E1052" s="4" t="n">
        <v>0.3270833333333333</v>
      </c>
      <c r="F1052" s="4" t="n">
        <v>0.7694444444444445</v>
      </c>
      <c r="G1052" s="3">
        <f>IF($E1052="","空卡",IF($F1052="","单卡","正常"))</f>
        <v/>
      </c>
      <c r="H1052" s="5">
        <f>IF($G1052="正常",ROUND(($F1052-$E1052)*1440,0),"")</f>
        <v/>
      </c>
      <c r="I1052" s="6">
        <f>IF($G1052="正常",$H1052/60,"")</f>
        <v/>
      </c>
      <c r="J1052" s="7">
        <f>IF($G1052="正常",ROUND($H1052/30,0)/2,"")</f>
        <v/>
      </c>
      <c r="K1052" s="7">
        <f>IF($G1052="正常",MIN($J1052,12),"")</f>
        <v/>
      </c>
      <c r="L1052" s="7">
        <f>IF($G1052="正常",MAX($J1052-12,0),"")</f>
        <v/>
      </c>
    </row>
    <row r="1053">
      <c r="A1053" s="3" t="inlineStr">
        <is>
          <t>李小俐</t>
        </is>
      </c>
      <c r="B1053" s="3" t="inlineStr">
        <is>
          <t>8/29</t>
        </is>
      </c>
      <c r="C1053" s="3" t="inlineStr">
        <is>
          <t>六</t>
        </is>
      </c>
      <c r="D1053" s="3" t="inlineStr">
        <is>
          <t>07:51 22:00</t>
        </is>
      </c>
      <c r="E1053" s="4" t="n">
        <v>0.3270833333333333</v>
      </c>
      <c r="F1053" s="4" t="n">
        <v>0.9166666666666666</v>
      </c>
      <c r="G1053" s="3">
        <f>IF($E1053="","空卡",IF($F1053="","单卡","正常"))</f>
        <v/>
      </c>
      <c r="H1053" s="5">
        <f>IF($G1053="正常",ROUND(($F1053-$E1053)*1440,0),"")</f>
        <v/>
      </c>
      <c r="I1053" s="6">
        <f>IF($G1053="正常",$H1053/60,"")</f>
        <v/>
      </c>
      <c r="J1053" s="7">
        <f>IF($G1053="正常",ROUND($H1053/30,0)/2,"")</f>
        <v/>
      </c>
      <c r="K1053" s="7">
        <f>IF($G1053="正常",MIN($J1053,12),"")</f>
        <v/>
      </c>
      <c r="L1053" s="7">
        <f>IF($G1053="正常",MAX($J1053-12,0),"")</f>
        <v/>
      </c>
    </row>
    <row r="1054">
      <c r="A1054" s="3" t="inlineStr">
        <is>
          <t>李小俐</t>
        </is>
      </c>
      <c r="B1054" s="3" t="inlineStr">
        <is>
          <t>8/30</t>
        </is>
      </c>
      <c r="C1054" s="3" t="inlineStr">
        <is>
          <t>日</t>
        </is>
      </c>
      <c r="D1054" s="3" t="inlineStr">
        <is>
          <t>07:51 18:43</t>
        </is>
      </c>
      <c r="E1054" s="4" t="n">
        <v>0.3270833333333333</v>
      </c>
      <c r="F1054" s="4" t="n">
        <v>0.7798611111111111</v>
      </c>
      <c r="G1054" s="3">
        <f>IF($E1054="","空卡",IF($F1054="","单卡","正常"))</f>
        <v/>
      </c>
      <c r="H1054" s="5">
        <f>IF($G1054="正常",ROUND(($F1054-$E1054)*1440,0),"")</f>
        <v/>
      </c>
      <c r="I1054" s="6">
        <f>IF($G1054="正常",$H1054/60,"")</f>
        <v/>
      </c>
      <c r="J1054" s="7">
        <f>IF($G1054="正常",ROUND($H1054/30,0)/2,"")</f>
        <v/>
      </c>
      <c r="K1054" s="7">
        <f>IF($G1054="正常",MIN($J1054,12),"")</f>
        <v/>
      </c>
      <c r="L1054" s="7">
        <f>IF($G1054="正常",MAX($J1054-12,0),"")</f>
        <v/>
      </c>
    </row>
    <row r="1055">
      <c r="A1055" s="8" t="inlineStr">
        <is>
          <t>李小俐</t>
        </is>
      </c>
      <c r="B1055" s="8" t="inlineStr">
        <is>
          <t>8/31</t>
        </is>
      </c>
      <c r="C1055" s="8" t="inlineStr">
        <is>
          <t>一</t>
        </is>
      </c>
      <c r="D1055" s="8" t="inlineStr"/>
      <c r="E1055" s="9" t="n"/>
      <c r="F1055" s="9" t="n"/>
      <c r="G1055" s="10">
        <f>IF($E1055="","空卡",IF($F1055="","单卡","正常"))</f>
        <v/>
      </c>
      <c r="H1055" s="11">
        <f>IF($G1055="正常",ROUND(($F1055-$E1055)*1440,0),"")</f>
        <v/>
      </c>
      <c r="I1055" s="12">
        <f>IF($G1055="正常",$H1055/60,"")</f>
        <v/>
      </c>
      <c r="J1055" s="13">
        <f>IF($G1055="正常",ROUND($H1055/30,0)/2,"")</f>
        <v/>
      </c>
      <c r="K1055" s="13">
        <f>IF($G1055="正常",MIN($J1055,12),"")</f>
        <v/>
      </c>
      <c r="L1055" s="13">
        <f>IF($G1055="正常",MAX($J1055-12,0),"")</f>
        <v/>
      </c>
    </row>
    <row r="1056">
      <c r="A1056" s="8" t="inlineStr">
        <is>
          <t>李厚强</t>
        </is>
      </c>
      <c r="B1056" s="8" t="inlineStr">
        <is>
          <t>8/1</t>
        </is>
      </c>
      <c r="C1056" s="8" t="inlineStr">
        <is>
          <t>六</t>
        </is>
      </c>
      <c r="D1056" s="8" t="inlineStr"/>
      <c r="E1056" s="9" t="n"/>
      <c r="F1056" s="9" t="n"/>
      <c r="G1056" s="10">
        <f>IF($E1056="","空卡",IF($F1056="","单卡","正常"))</f>
        <v/>
      </c>
      <c r="H1056" s="11">
        <f>IF($G1056="正常",ROUND(($F1056-$E1056)*1440,0),"")</f>
        <v/>
      </c>
      <c r="I1056" s="12">
        <f>IF($G1056="正常",$H1056/60,"")</f>
        <v/>
      </c>
      <c r="J1056" s="13">
        <f>IF($G1056="正常",ROUND($H1056/30,0)/2,"")</f>
        <v/>
      </c>
      <c r="K1056" s="13">
        <f>IF($G1056="正常",MIN($J1056,12),"")</f>
        <v/>
      </c>
      <c r="L1056" s="13">
        <f>IF($G1056="正常",MAX($J1056-12,0),"")</f>
        <v/>
      </c>
    </row>
    <row r="1057">
      <c r="A1057" s="8" t="inlineStr">
        <is>
          <t>李厚强</t>
        </is>
      </c>
      <c r="B1057" s="8" t="inlineStr">
        <is>
          <t>8/2</t>
        </is>
      </c>
      <c r="C1057" s="8" t="inlineStr">
        <is>
          <t>日</t>
        </is>
      </c>
      <c r="D1057" s="8" t="inlineStr"/>
      <c r="E1057" s="9" t="n"/>
      <c r="F1057" s="9" t="n"/>
      <c r="G1057" s="10">
        <f>IF($E1057="","空卡",IF($F1057="","单卡","正常"))</f>
        <v/>
      </c>
      <c r="H1057" s="11">
        <f>IF($G1057="正常",ROUND(($F1057-$E1057)*1440,0),"")</f>
        <v/>
      </c>
      <c r="I1057" s="12">
        <f>IF($G1057="正常",$H1057/60,"")</f>
        <v/>
      </c>
      <c r="J1057" s="13">
        <f>IF($G1057="正常",ROUND($H1057/30,0)/2,"")</f>
        <v/>
      </c>
      <c r="K1057" s="13">
        <f>IF($G1057="正常",MIN($J1057,12),"")</f>
        <v/>
      </c>
      <c r="L1057" s="13">
        <f>IF($G1057="正常",MAX($J1057-12,0),"")</f>
        <v/>
      </c>
    </row>
    <row r="1058">
      <c r="A1058" s="8" t="inlineStr">
        <is>
          <t>李厚强</t>
        </is>
      </c>
      <c r="B1058" s="8" t="inlineStr">
        <is>
          <t>8/3</t>
        </is>
      </c>
      <c r="C1058" s="8" t="inlineStr">
        <is>
          <t>一</t>
        </is>
      </c>
      <c r="D1058" s="8" t="inlineStr"/>
      <c r="E1058" s="9" t="n"/>
      <c r="F1058" s="9" t="n"/>
      <c r="G1058" s="10">
        <f>IF($E1058="","空卡",IF($F1058="","单卡","正常"))</f>
        <v/>
      </c>
      <c r="H1058" s="11">
        <f>IF($G1058="正常",ROUND(($F1058-$E1058)*1440,0),"")</f>
        <v/>
      </c>
      <c r="I1058" s="12">
        <f>IF($G1058="正常",$H1058/60,"")</f>
        <v/>
      </c>
      <c r="J1058" s="13">
        <f>IF($G1058="正常",ROUND($H1058/30,0)/2,"")</f>
        <v/>
      </c>
      <c r="K1058" s="13">
        <f>IF($G1058="正常",MIN($J1058,12),"")</f>
        <v/>
      </c>
      <c r="L1058" s="13">
        <f>IF($G1058="正常",MAX($J1058-12,0),"")</f>
        <v/>
      </c>
    </row>
    <row r="1059">
      <c r="A1059" s="8" t="inlineStr">
        <is>
          <t>李厚强</t>
        </is>
      </c>
      <c r="B1059" s="8" t="inlineStr">
        <is>
          <t>8/4</t>
        </is>
      </c>
      <c r="C1059" s="8" t="inlineStr">
        <is>
          <t>二</t>
        </is>
      </c>
      <c r="D1059" s="8" t="inlineStr"/>
      <c r="E1059" s="9" t="n"/>
      <c r="F1059" s="9" t="n"/>
      <c r="G1059" s="10">
        <f>IF($E1059="","空卡",IF($F1059="","单卡","正常"))</f>
        <v/>
      </c>
      <c r="H1059" s="11">
        <f>IF($G1059="正常",ROUND(($F1059-$E1059)*1440,0),"")</f>
        <v/>
      </c>
      <c r="I1059" s="12">
        <f>IF($G1059="正常",$H1059/60,"")</f>
        <v/>
      </c>
      <c r="J1059" s="13">
        <f>IF($G1059="正常",ROUND($H1059/30,0)/2,"")</f>
        <v/>
      </c>
      <c r="K1059" s="13">
        <f>IF($G1059="正常",MIN($J1059,12),"")</f>
        <v/>
      </c>
      <c r="L1059" s="13">
        <f>IF($G1059="正常",MAX($J1059-12,0),"")</f>
        <v/>
      </c>
    </row>
    <row r="1060">
      <c r="A1060" s="8" t="inlineStr">
        <is>
          <t>李厚强</t>
        </is>
      </c>
      <c r="B1060" s="8" t="inlineStr">
        <is>
          <t>8/5</t>
        </is>
      </c>
      <c r="C1060" s="8" t="inlineStr">
        <is>
          <t>三</t>
        </is>
      </c>
      <c r="D1060" s="8" t="inlineStr"/>
      <c r="E1060" s="9" t="n"/>
      <c r="F1060" s="9" t="n"/>
      <c r="G1060" s="10">
        <f>IF($E1060="","空卡",IF($F1060="","单卡","正常"))</f>
        <v/>
      </c>
      <c r="H1060" s="11">
        <f>IF($G1060="正常",ROUND(($F1060-$E1060)*1440,0),"")</f>
        <v/>
      </c>
      <c r="I1060" s="12">
        <f>IF($G1060="正常",$H1060/60,"")</f>
        <v/>
      </c>
      <c r="J1060" s="13">
        <f>IF($G1060="正常",ROUND($H1060/30,0)/2,"")</f>
        <v/>
      </c>
      <c r="K1060" s="13">
        <f>IF($G1060="正常",MIN($J1060,12),"")</f>
        <v/>
      </c>
      <c r="L1060" s="13">
        <f>IF($G1060="正常",MAX($J1060-12,0),"")</f>
        <v/>
      </c>
    </row>
    <row r="1061">
      <c r="A1061" s="8" t="inlineStr">
        <is>
          <t>李厚强</t>
        </is>
      </c>
      <c r="B1061" s="8" t="inlineStr">
        <is>
          <t>8/6</t>
        </is>
      </c>
      <c r="C1061" s="8" t="inlineStr">
        <is>
          <t>四</t>
        </is>
      </c>
      <c r="D1061" s="8" t="inlineStr"/>
      <c r="E1061" s="9" t="n"/>
      <c r="F1061" s="9" t="n"/>
      <c r="G1061" s="10">
        <f>IF($E1061="","空卡",IF($F1061="","单卡","正常"))</f>
        <v/>
      </c>
      <c r="H1061" s="11">
        <f>IF($G1061="正常",ROUND(($F1061-$E1061)*1440,0),"")</f>
        <v/>
      </c>
      <c r="I1061" s="12">
        <f>IF($G1061="正常",$H1061/60,"")</f>
        <v/>
      </c>
      <c r="J1061" s="13">
        <f>IF($G1061="正常",ROUND($H1061/30,0)/2,"")</f>
        <v/>
      </c>
      <c r="K1061" s="13">
        <f>IF($G1061="正常",MIN($J1061,12),"")</f>
        <v/>
      </c>
      <c r="L1061" s="13">
        <f>IF($G1061="正常",MAX($J1061-12,0),"")</f>
        <v/>
      </c>
    </row>
    <row r="1062">
      <c r="A1062" s="8" t="inlineStr">
        <is>
          <t>李厚强</t>
        </is>
      </c>
      <c r="B1062" s="8" t="inlineStr">
        <is>
          <t>8/7</t>
        </is>
      </c>
      <c r="C1062" s="8" t="inlineStr">
        <is>
          <t>五</t>
        </is>
      </c>
      <c r="D1062" s="8" t="inlineStr"/>
      <c r="E1062" s="9" t="n"/>
      <c r="F1062" s="9" t="n"/>
      <c r="G1062" s="10">
        <f>IF($E1062="","空卡",IF($F1062="","单卡","正常"))</f>
        <v/>
      </c>
      <c r="H1062" s="11">
        <f>IF($G1062="正常",ROUND(($F1062-$E1062)*1440,0),"")</f>
        <v/>
      </c>
      <c r="I1062" s="12">
        <f>IF($G1062="正常",$H1062/60,"")</f>
        <v/>
      </c>
      <c r="J1062" s="13">
        <f>IF($G1062="正常",ROUND($H1062/30,0)/2,"")</f>
        <v/>
      </c>
      <c r="K1062" s="13">
        <f>IF($G1062="正常",MIN($J1062,12),"")</f>
        <v/>
      </c>
      <c r="L1062" s="13">
        <f>IF($G1062="正常",MAX($J1062-12,0),"")</f>
        <v/>
      </c>
    </row>
    <row r="1063">
      <c r="A1063" s="8" t="inlineStr">
        <is>
          <t>李厚强</t>
        </is>
      </c>
      <c r="B1063" s="8" t="inlineStr">
        <is>
          <t>8/8</t>
        </is>
      </c>
      <c r="C1063" s="8" t="inlineStr">
        <is>
          <t>六</t>
        </is>
      </c>
      <c r="D1063" s="8" t="inlineStr"/>
      <c r="E1063" s="9" t="n"/>
      <c r="F1063" s="9" t="n"/>
      <c r="G1063" s="10">
        <f>IF($E1063="","空卡",IF($F1063="","单卡","正常"))</f>
        <v/>
      </c>
      <c r="H1063" s="11">
        <f>IF($G1063="正常",ROUND(($F1063-$E1063)*1440,0),"")</f>
        <v/>
      </c>
      <c r="I1063" s="12">
        <f>IF($G1063="正常",$H1063/60,"")</f>
        <v/>
      </c>
      <c r="J1063" s="13">
        <f>IF($G1063="正常",ROUND($H1063/30,0)/2,"")</f>
        <v/>
      </c>
      <c r="K1063" s="13">
        <f>IF($G1063="正常",MIN($J1063,12),"")</f>
        <v/>
      </c>
      <c r="L1063" s="13">
        <f>IF($G1063="正常",MAX($J1063-12,0),"")</f>
        <v/>
      </c>
    </row>
    <row r="1064">
      <c r="A1064" s="8" t="inlineStr">
        <is>
          <t>李厚强</t>
        </is>
      </c>
      <c r="B1064" s="8" t="inlineStr">
        <is>
          <t>8/9</t>
        </is>
      </c>
      <c r="C1064" s="8" t="inlineStr">
        <is>
          <t>日</t>
        </is>
      </c>
      <c r="D1064" s="8" t="inlineStr"/>
      <c r="E1064" s="9" t="n"/>
      <c r="F1064" s="9" t="n"/>
      <c r="G1064" s="10">
        <f>IF($E1064="","空卡",IF($F1064="","单卡","正常"))</f>
        <v/>
      </c>
      <c r="H1064" s="11">
        <f>IF($G1064="正常",ROUND(($F1064-$E1064)*1440,0),"")</f>
        <v/>
      </c>
      <c r="I1064" s="12">
        <f>IF($G1064="正常",$H1064/60,"")</f>
        <v/>
      </c>
      <c r="J1064" s="13">
        <f>IF($G1064="正常",ROUND($H1064/30,0)/2,"")</f>
        <v/>
      </c>
      <c r="K1064" s="13">
        <f>IF($G1064="正常",MIN($J1064,12),"")</f>
        <v/>
      </c>
      <c r="L1064" s="13">
        <f>IF($G1064="正常",MAX($J1064-12,0),"")</f>
        <v/>
      </c>
    </row>
    <row r="1065">
      <c r="A1065" s="8" t="inlineStr">
        <is>
          <t>李厚强</t>
        </is>
      </c>
      <c r="B1065" s="8" t="inlineStr">
        <is>
          <t>8/10</t>
        </is>
      </c>
      <c r="C1065" s="8" t="inlineStr">
        <is>
          <t>一</t>
        </is>
      </c>
      <c r="D1065" s="8" t="inlineStr"/>
      <c r="E1065" s="9" t="n"/>
      <c r="F1065" s="9" t="n"/>
      <c r="G1065" s="10">
        <f>IF($E1065="","空卡",IF($F1065="","单卡","正常"))</f>
        <v/>
      </c>
      <c r="H1065" s="11">
        <f>IF($G1065="正常",ROUND(($F1065-$E1065)*1440,0),"")</f>
        <v/>
      </c>
      <c r="I1065" s="12">
        <f>IF($G1065="正常",$H1065/60,"")</f>
        <v/>
      </c>
      <c r="J1065" s="13">
        <f>IF($G1065="正常",ROUND($H1065/30,0)/2,"")</f>
        <v/>
      </c>
      <c r="K1065" s="13">
        <f>IF($G1065="正常",MIN($J1065,12),"")</f>
        <v/>
      </c>
      <c r="L1065" s="13">
        <f>IF($G1065="正常",MAX($J1065-12,0),"")</f>
        <v/>
      </c>
    </row>
    <row r="1066">
      <c r="A1066" s="8" t="inlineStr">
        <is>
          <t>李厚强</t>
        </is>
      </c>
      <c r="B1066" s="8" t="inlineStr">
        <is>
          <t>8/11</t>
        </is>
      </c>
      <c r="C1066" s="8" t="inlineStr">
        <is>
          <t>二</t>
        </is>
      </c>
      <c r="D1066" s="8" t="inlineStr"/>
      <c r="E1066" s="9" t="n"/>
      <c r="F1066" s="9" t="n"/>
      <c r="G1066" s="10">
        <f>IF($E1066="","空卡",IF($F1066="","单卡","正常"))</f>
        <v/>
      </c>
      <c r="H1066" s="11">
        <f>IF($G1066="正常",ROUND(($F1066-$E1066)*1440,0),"")</f>
        <v/>
      </c>
      <c r="I1066" s="12">
        <f>IF($G1066="正常",$H1066/60,"")</f>
        <v/>
      </c>
      <c r="J1066" s="13">
        <f>IF($G1066="正常",ROUND($H1066/30,0)/2,"")</f>
        <v/>
      </c>
      <c r="K1066" s="13">
        <f>IF($G1066="正常",MIN($J1066,12),"")</f>
        <v/>
      </c>
      <c r="L1066" s="13">
        <f>IF($G1066="正常",MAX($J1066-12,0),"")</f>
        <v/>
      </c>
    </row>
    <row r="1067">
      <c r="A1067" s="8" t="inlineStr">
        <is>
          <t>李厚强</t>
        </is>
      </c>
      <c r="B1067" s="8" t="inlineStr">
        <is>
          <t>8/12</t>
        </is>
      </c>
      <c r="C1067" s="8" t="inlineStr">
        <is>
          <t>三</t>
        </is>
      </c>
      <c r="D1067" s="8" t="inlineStr"/>
      <c r="E1067" s="9" t="n"/>
      <c r="F1067" s="9" t="n"/>
      <c r="G1067" s="10">
        <f>IF($E1067="","空卡",IF($F1067="","单卡","正常"))</f>
        <v/>
      </c>
      <c r="H1067" s="11">
        <f>IF($G1067="正常",ROUND(($F1067-$E1067)*1440,0),"")</f>
        <v/>
      </c>
      <c r="I1067" s="12">
        <f>IF($G1067="正常",$H1067/60,"")</f>
        <v/>
      </c>
      <c r="J1067" s="13">
        <f>IF($G1067="正常",ROUND($H1067/30,0)/2,"")</f>
        <v/>
      </c>
      <c r="K1067" s="13">
        <f>IF($G1067="正常",MIN($J1067,12),"")</f>
        <v/>
      </c>
      <c r="L1067" s="13">
        <f>IF($G1067="正常",MAX($J1067-12,0),"")</f>
        <v/>
      </c>
    </row>
    <row r="1068">
      <c r="A1068" s="8" t="inlineStr">
        <is>
          <t>李厚强</t>
        </is>
      </c>
      <c r="B1068" s="8" t="inlineStr">
        <is>
          <t>8/13</t>
        </is>
      </c>
      <c r="C1068" s="8" t="inlineStr">
        <is>
          <t>四</t>
        </is>
      </c>
      <c r="D1068" s="8" t="inlineStr"/>
      <c r="E1068" s="9" t="n"/>
      <c r="F1068" s="9" t="n"/>
      <c r="G1068" s="10">
        <f>IF($E1068="","空卡",IF($F1068="","单卡","正常"))</f>
        <v/>
      </c>
      <c r="H1068" s="11">
        <f>IF($G1068="正常",ROUND(($F1068-$E1068)*1440,0),"")</f>
        <v/>
      </c>
      <c r="I1068" s="12">
        <f>IF($G1068="正常",$H1068/60,"")</f>
        <v/>
      </c>
      <c r="J1068" s="13">
        <f>IF($G1068="正常",ROUND($H1068/30,0)/2,"")</f>
        <v/>
      </c>
      <c r="K1068" s="13">
        <f>IF($G1068="正常",MIN($J1068,12),"")</f>
        <v/>
      </c>
      <c r="L1068" s="13">
        <f>IF($G1068="正常",MAX($J1068-12,0),"")</f>
        <v/>
      </c>
    </row>
    <row r="1069">
      <c r="A1069" s="8" t="inlineStr">
        <is>
          <t>李厚强</t>
        </is>
      </c>
      <c r="B1069" s="8" t="inlineStr">
        <is>
          <t>8/14</t>
        </is>
      </c>
      <c r="C1069" s="8" t="inlineStr">
        <is>
          <t>五</t>
        </is>
      </c>
      <c r="D1069" s="8" t="inlineStr"/>
      <c r="E1069" s="9" t="n"/>
      <c r="F1069" s="9" t="n"/>
      <c r="G1069" s="10">
        <f>IF($E1069="","空卡",IF($F1069="","单卡","正常"))</f>
        <v/>
      </c>
      <c r="H1069" s="11">
        <f>IF($G1069="正常",ROUND(($F1069-$E1069)*1440,0),"")</f>
        <v/>
      </c>
      <c r="I1069" s="12">
        <f>IF($G1069="正常",$H1069/60,"")</f>
        <v/>
      </c>
      <c r="J1069" s="13">
        <f>IF($G1069="正常",ROUND($H1069/30,0)/2,"")</f>
        <v/>
      </c>
      <c r="K1069" s="13">
        <f>IF($G1069="正常",MIN($J1069,12),"")</f>
        <v/>
      </c>
      <c r="L1069" s="13">
        <f>IF($G1069="正常",MAX($J1069-12,0),"")</f>
        <v/>
      </c>
    </row>
    <row r="1070">
      <c r="A1070" s="8" t="inlineStr">
        <is>
          <t>李厚强</t>
        </is>
      </c>
      <c r="B1070" s="8" t="inlineStr">
        <is>
          <t>8/15</t>
        </is>
      </c>
      <c r="C1070" s="8" t="inlineStr">
        <is>
          <t>六</t>
        </is>
      </c>
      <c r="D1070" s="8" t="inlineStr"/>
      <c r="E1070" s="9" t="n"/>
      <c r="F1070" s="9" t="n"/>
      <c r="G1070" s="10">
        <f>IF($E1070="","空卡",IF($F1070="","单卡","正常"))</f>
        <v/>
      </c>
      <c r="H1070" s="11">
        <f>IF($G1070="正常",ROUND(($F1070-$E1070)*1440,0),"")</f>
        <v/>
      </c>
      <c r="I1070" s="12">
        <f>IF($G1070="正常",$H1070/60,"")</f>
        <v/>
      </c>
      <c r="J1070" s="13">
        <f>IF($G1070="正常",ROUND($H1070/30,0)/2,"")</f>
        <v/>
      </c>
      <c r="K1070" s="13">
        <f>IF($G1070="正常",MIN($J1070,12),"")</f>
        <v/>
      </c>
      <c r="L1070" s="13">
        <f>IF($G1070="正常",MAX($J1070-12,0),"")</f>
        <v/>
      </c>
    </row>
    <row r="1071">
      <c r="A1071" s="8" t="inlineStr">
        <is>
          <t>李厚强</t>
        </is>
      </c>
      <c r="B1071" s="8" t="inlineStr">
        <is>
          <t>8/16</t>
        </is>
      </c>
      <c r="C1071" s="8" t="inlineStr">
        <is>
          <t>日</t>
        </is>
      </c>
      <c r="D1071" s="8" t="inlineStr"/>
      <c r="E1071" s="9" t="n"/>
      <c r="F1071" s="9" t="n"/>
      <c r="G1071" s="10">
        <f>IF($E1071="","空卡",IF($F1071="","单卡","正常"))</f>
        <v/>
      </c>
      <c r="H1071" s="11">
        <f>IF($G1071="正常",ROUND(($F1071-$E1071)*1440,0),"")</f>
        <v/>
      </c>
      <c r="I1071" s="12">
        <f>IF($G1071="正常",$H1071/60,"")</f>
        <v/>
      </c>
      <c r="J1071" s="13">
        <f>IF($G1071="正常",ROUND($H1071/30,0)/2,"")</f>
        <v/>
      </c>
      <c r="K1071" s="13">
        <f>IF($G1071="正常",MIN($J1071,12),"")</f>
        <v/>
      </c>
      <c r="L1071" s="13">
        <f>IF($G1071="正常",MAX($J1071-12,0),"")</f>
        <v/>
      </c>
    </row>
    <row r="1072">
      <c r="A1072" s="8" t="inlineStr">
        <is>
          <t>李厚强</t>
        </is>
      </c>
      <c r="B1072" s="8" t="inlineStr">
        <is>
          <t>8/17</t>
        </is>
      </c>
      <c r="C1072" s="8" t="inlineStr">
        <is>
          <t>一</t>
        </is>
      </c>
      <c r="D1072" s="8" t="inlineStr"/>
      <c r="E1072" s="9" t="n"/>
      <c r="F1072" s="9" t="n"/>
      <c r="G1072" s="10">
        <f>IF($E1072="","空卡",IF($F1072="","单卡","正常"))</f>
        <v/>
      </c>
      <c r="H1072" s="11">
        <f>IF($G1072="正常",ROUND(($F1072-$E1072)*1440,0),"")</f>
        <v/>
      </c>
      <c r="I1072" s="12">
        <f>IF($G1072="正常",$H1072/60,"")</f>
        <v/>
      </c>
      <c r="J1072" s="13">
        <f>IF($G1072="正常",ROUND($H1072/30,0)/2,"")</f>
        <v/>
      </c>
      <c r="K1072" s="13">
        <f>IF($G1072="正常",MIN($J1072,12),"")</f>
        <v/>
      </c>
      <c r="L1072" s="13">
        <f>IF($G1072="正常",MAX($J1072-12,0),"")</f>
        <v/>
      </c>
    </row>
    <row r="1073">
      <c r="A1073" s="8" t="inlineStr">
        <is>
          <t>李厚强</t>
        </is>
      </c>
      <c r="B1073" s="8" t="inlineStr">
        <is>
          <t>8/18</t>
        </is>
      </c>
      <c r="C1073" s="8" t="inlineStr">
        <is>
          <t>二</t>
        </is>
      </c>
      <c r="D1073" s="8" t="inlineStr"/>
      <c r="E1073" s="9" t="n"/>
      <c r="F1073" s="9" t="n"/>
      <c r="G1073" s="10">
        <f>IF($E1073="","空卡",IF($F1073="","单卡","正常"))</f>
        <v/>
      </c>
      <c r="H1073" s="11">
        <f>IF($G1073="正常",ROUND(($F1073-$E1073)*1440,0),"")</f>
        <v/>
      </c>
      <c r="I1073" s="12">
        <f>IF($G1073="正常",$H1073/60,"")</f>
        <v/>
      </c>
      <c r="J1073" s="13">
        <f>IF($G1073="正常",ROUND($H1073/30,0)/2,"")</f>
        <v/>
      </c>
      <c r="K1073" s="13">
        <f>IF($G1073="正常",MIN($J1073,12),"")</f>
        <v/>
      </c>
      <c r="L1073" s="13">
        <f>IF($G1073="正常",MAX($J1073-12,0),"")</f>
        <v/>
      </c>
    </row>
    <row r="1074">
      <c r="A1074" s="8" t="inlineStr">
        <is>
          <t>李厚强</t>
        </is>
      </c>
      <c r="B1074" s="8" t="inlineStr">
        <is>
          <t>8/19</t>
        </is>
      </c>
      <c r="C1074" s="8" t="inlineStr">
        <is>
          <t>三</t>
        </is>
      </c>
      <c r="D1074" s="8" t="inlineStr"/>
      <c r="E1074" s="9" t="n"/>
      <c r="F1074" s="9" t="n"/>
      <c r="G1074" s="10">
        <f>IF($E1074="","空卡",IF($F1074="","单卡","正常"))</f>
        <v/>
      </c>
      <c r="H1074" s="11">
        <f>IF($G1074="正常",ROUND(($F1074-$E1074)*1440,0),"")</f>
        <v/>
      </c>
      <c r="I1074" s="12">
        <f>IF($G1074="正常",$H1074/60,"")</f>
        <v/>
      </c>
      <c r="J1074" s="13">
        <f>IF($G1074="正常",ROUND($H1074/30,0)/2,"")</f>
        <v/>
      </c>
      <c r="K1074" s="13">
        <f>IF($G1074="正常",MIN($J1074,12),"")</f>
        <v/>
      </c>
      <c r="L1074" s="13">
        <f>IF($G1074="正常",MAX($J1074-12,0),"")</f>
        <v/>
      </c>
    </row>
    <row r="1075">
      <c r="A1075" s="8" t="inlineStr">
        <is>
          <t>李厚强</t>
        </is>
      </c>
      <c r="B1075" s="8" t="inlineStr">
        <is>
          <t>8/20</t>
        </is>
      </c>
      <c r="C1075" s="8" t="inlineStr">
        <is>
          <t>四</t>
        </is>
      </c>
      <c r="D1075" s="8" t="inlineStr"/>
      <c r="E1075" s="9" t="n"/>
      <c r="F1075" s="9" t="n"/>
      <c r="G1075" s="10">
        <f>IF($E1075="","空卡",IF($F1075="","单卡","正常"))</f>
        <v/>
      </c>
      <c r="H1075" s="11">
        <f>IF($G1075="正常",ROUND(($F1075-$E1075)*1440,0),"")</f>
        <v/>
      </c>
      <c r="I1075" s="12">
        <f>IF($G1075="正常",$H1075/60,"")</f>
        <v/>
      </c>
      <c r="J1075" s="13">
        <f>IF($G1075="正常",ROUND($H1075/30,0)/2,"")</f>
        <v/>
      </c>
      <c r="K1075" s="13">
        <f>IF($G1075="正常",MIN($J1075,12),"")</f>
        <v/>
      </c>
      <c r="L1075" s="13">
        <f>IF($G1075="正常",MAX($J1075-12,0),"")</f>
        <v/>
      </c>
    </row>
    <row r="1076">
      <c r="A1076" s="8" t="inlineStr">
        <is>
          <t>李厚强</t>
        </is>
      </c>
      <c r="B1076" s="8" t="inlineStr">
        <is>
          <t>8/21</t>
        </is>
      </c>
      <c r="C1076" s="8" t="inlineStr">
        <is>
          <t>五</t>
        </is>
      </c>
      <c r="D1076" s="8" t="inlineStr"/>
      <c r="E1076" s="9" t="n"/>
      <c r="F1076" s="9" t="n"/>
      <c r="G1076" s="10">
        <f>IF($E1076="","空卡",IF($F1076="","单卡","正常"))</f>
        <v/>
      </c>
      <c r="H1076" s="11">
        <f>IF($G1076="正常",ROUND(($F1076-$E1076)*1440,0),"")</f>
        <v/>
      </c>
      <c r="I1076" s="12">
        <f>IF($G1076="正常",$H1076/60,"")</f>
        <v/>
      </c>
      <c r="J1076" s="13">
        <f>IF($G1076="正常",ROUND($H1076/30,0)/2,"")</f>
        <v/>
      </c>
      <c r="K1076" s="13">
        <f>IF($G1076="正常",MIN($J1076,12),"")</f>
        <v/>
      </c>
      <c r="L1076" s="13">
        <f>IF($G1076="正常",MAX($J1076-12,0),"")</f>
        <v/>
      </c>
    </row>
    <row r="1077">
      <c r="A1077" s="8" t="inlineStr">
        <is>
          <t>李厚强</t>
        </is>
      </c>
      <c r="B1077" s="8" t="inlineStr">
        <is>
          <t>8/22</t>
        </is>
      </c>
      <c r="C1077" s="8" t="inlineStr">
        <is>
          <t>六</t>
        </is>
      </c>
      <c r="D1077" s="8" t="inlineStr"/>
      <c r="E1077" s="9" t="n"/>
      <c r="F1077" s="9" t="n"/>
      <c r="G1077" s="10">
        <f>IF($E1077="","空卡",IF($F1077="","单卡","正常"))</f>
        <v/>
      </c>
      <c r="H1077" s="11">
        <f>IF($G1077="正常",ROUND(($F1077-$E1077)*1440,0),"")</f>
        <v/>
      </c>
      <c r="I1077" s="12">
        <f>IF($G1077="正常",$H1077/60,"")</f>
        <v/>
      </c>
      <c r="J1077" s="13">
        <f>IF($G1077="正常",ROUND($H1077/30,0)/2,"")</f>
        <v/>
      </c>
      <c r="K1077" s="13">
        <f>IF($G1077="正常",MIN($J1077,12),"")</f>
        <v/>
      </c>
      <c r="L1077" s="13">
        <f>IF($G1077="正常",MAX($J1077-12,0),"")</f>
        <v/>
      </c>
    </row>
    <row r="1078">
      <c r="A1078" s="8" t="inlineStr">
        <is>
          <t>李厚强</t>
        </is>
      </c>
      <c r="B1078" s="8" t="inlineStr">
        <is>
          <t>8/23</t>
        </is>
      </c>
      <c r="C1078" s="8" t="inlineStr">
        <is>
          <t>日</t>
        </is>
      </c>
      <c r="D1078" s="8" t="inlineStr"/>
      <c r="E1078" s="9" t="n"/>
      <c r="F1078" s="9" t="n"/>
      <c r="G1078" s="10">
        <f>IF($E1078="","空卡",IF($F1078="","单卡","正常"))</f>
        <v/>
      </c>
      <c r="H1078" s="11">
        <f>IF($G1078="正常",ROUND(($F1078-$E1078)*1440,0),"")</f>
        <v/>
      </c>
      <c r="I1078" s="12">
        <f>IF($G1078="正常",$H1078/60,"")</f>
        <v/>
      </c>
      <c r="J1078" s="13">
        <f>IF($G1078="正常",ROUND($H1078/30,0)/2,"")</f>
        <v/>
      </c>
      <c r="K1078" s="13">
        <f>IF($G1078="正常",MIN($J1078,12),"")</f>
        <v/>
      </c>
      <c r="L1078" s="13">
        <f>IF($G1078="正常",MAX($J1078-12,0),"")</f>
        <v/>
      </c>
    </row>
    <row r="1079">
      <c r="A1079" s="8" t="inlineStr">
        <is>
          <t>李厚强</t>
        </is>
      </c>
      <c r="B1079" s="8" t="inlineStr">
        <is>
          <t>8/24</t>
        </is>
      </c>
      <c r="C1079" s="8" t="inlineStr">
        <is>
          <t>一</t>
        </is>
      </c>
      <c r="D1079" s="8" t="inlineStr"/>
      <c r="E1079" s="9" t="n"/>
      <c r="F1079" s="9" t="n"/>
      <c r="G1079" s="10">
        <f>IF($E1079="","空卡",IF($F1079="","单卡","正常"))</f>
        <v/>
      </c>
      <c r="H1079" s="11">
        <f>IF($G1079="正常",ROUND(($F1079-$E1079)*1440,0),"")</f>
        <v/>
      </c>
      <c r="I1079" s="12">
        <f>IF($G1079="正常",$H1079/60,"")</f>
        <v/>
      </c>
      <c r="J1079" s="13">
        <f>IF($G1079="正常",ROUND($H1079/30,0)/2,"")</f>
        <v/>
      </c>
      <c r="K1079" s="13">
        <f>IF($G1079="正常",MIN($J1079,12),"")</f>
        <v/>
      </c>
      <c r="L1079" s="13">
        <f>IF($G1079="正常",MAX($J1079-12,0),"")</f>
        <v/>
      </c>
    </row>
    <row r="1080">
      <c r="A1080" s="8" t="inlineStr">
        <is>
          <t>李厚强</t>
        </is>
      </c>
      <c r="B1080" s="8" t="inlineStr">
        <is>
          <t>8/25</t>
        </is>
      </c>
      <c r="C1080" s="8" t="inlineStr">
        <is>
          <t>二</t>
        </is>
      </c>
      <c r="D1080" s="8" t="inlineStr"/>
      <c r="E1080" s="9" t="n"/>
      <c r="F1080" s="9" t="n"/>
      <c r="G1080" s="10">
        <f>IF($E1080="","空卡",IF($F1080="","单卡","正常"))</f>
        <v/>
      </c>
      <c r="H1080" s="11">
        <f>IF($G1080="正常",ROUND(($F1080-$E1080)*1440,0),"")</f>
        <v/>
      </c>
      <c r="I1080" s="12">
        <f>IF($G1080="正常",$H1080/60,"")</f>
        <v/>
      </c>
      <c r="J1080" s="13">
        <f>IF($G1080="正常",ROUND($H1080/30,0)/2,"")</f>
        <v/>
      </c>
      <c r="K1080" s="13">
        <f>IF($G1080="正常",MIN($J1080,12),"")</f>
        <v/>
      </c>
      <c r="L1080" s="13">
        <f>IF($G1080="正常",MAX($J1080-12,0),"")</f>
        <v/>
      </c>
    </row>
    <row r="1081">
      <c r="A1081" s="8" t="inlineStr">
        <is>
          <t>李厚强</t>
        </is>
      </c>
      <c r="B1081" s="8" t="inlineStr">
        <is>
          <t>8/26</t>
        </is>
      </c>
      <c r="C1081" s="8" t="inlineStr">
        <is>
          <t>三</t>
        </is>
      </c>
      <c r="D1081" s="8" t="inlineStr"/>
      <c r="E1081" s="9" t="n"/>
      <c r="F1081" s="9" t="n"/>
      <c r="G1081" s="10">
        <f>IF($E1081="","空卡",IF($F1081="","单卡","正常"))</f>
        <v/>
      </c>
      <c r="H1081" s="11">
        <f>IF($G1081="正常",ROUND(($F1081-$E1081)*1440,0),"")</f>
        <v/>
      </c>
      <c r="I1081" s="12">
        <f>IF($G1081="正常",$H1081/60,"")</f>
        <v/>
      </c>
      <c r="J1081" s="13">
        <f>IF($G1081="正常",ROUND($H1081/30,0)/2,"")</f>
        <v/>
      </c>
      <c r="K1081" s="13">
        <f>IF($G1081="正常",MIN($J1081,12),"")</f>
        <v/>
      </c>
      <c r="L1081" s="13">
        <f>IF($G1081="正常",MAX($J1081-12,0),"")</f>
        <v/>
      </c>
    </row>
    <row r="1082">
      <c r="A1082" s="8" t="inlineStr">
        <is>
          <t>李厚强</t>
        </is>
      </c>
      <c r="B1082" s="8" t="inlineStr">
        <is>
          <t>8/27</t>
        </is>
      </c>
      <c r="C1082" s="8" t="inlineStr">
        <is>
          <t>四</t>
        </is>
      </c>
      <c r="D1082" s="8" t="inlineStr"/>
      <c r="E1082" s="9" t="n"/>
      <c r="F1082" s="9" t="n"/>
      <c r="G1082" s="10">
        <f>IF($E1082="","空卡",IF($F1082="","单卡","正常"))</f>
        <v/>
      </c>
      <c r="H1082" s="11">
        <f>IF($G1082="正常",ROUND(($F1082-$E1082)*1440,0),"")</f>
        <v/>
      </c>
      <c r="I1082" s="12">
        <f>IF($G1082="正常",$H1082/60,"")</f>
        <v/>
      </c>
      <c r="J1082" s="13">
        <f>IF($G1082="正常",ROUND($H1082/30,0)/2,"")</f>
        <v/>
      </c>
      <c r="K1082" s="13">
        <f>IF($G1082="正常",MIN($J1082,12),"")</f>
        <v/>
      </c>
      <c r="L1082" s="13">
        <f>IF($G1082="正常",MAX($J1082-12,0),"")</f>
        <v/>
      </c>
    </row>
    <row r="1083">
      <c r="A1083" s="8" t="inlineStr">
        <is>
          <t>李厚强</t>
        </is>
      </c>
      <c r="B1083" s="8" t="inlineStr">
        <is>
          <t>8/28</t>
        </is>
      </c>
      <c r="C1083" s="8" t="inlineStr">
        <is>
          <t>五</t>
        </is>
      </c>
      <c r="D1083" s="8" t="inlineStr"/>
      <c r="E1083" s="9" t="n"/>
      <c r="F1083" s="9" t="n"/>
      <c r="G1083" s="10">
        <f>IF($E1083="","空卡",IF($F1083="","单卡","正常"))</f>
        <v/>
      </c>
      <c r="H1083" s="11">
        <f>IF($G1083="正常",ROUND(($F1083-$E1083)*1440,0),"")</f>
        <v/>
      </c>
      <c r="I1083" s="12">
        <f>IF($G1083="正常",$H1083/60,"")</f>
        <v/>
      </c>
      <c r="J1083" s="13">
        <f>IF($G1083="正常",ROUND($H1083/30,0)/2,"")</f>
        <v/>
      </c>
      <c r="K1083" s="13">
        <f>IF($G1083="正常",MIN($J1083,12),"")</f>
        <v/>
      </c>
      <c r="L1083" s="13">
        <f>IF($G1083="正常",MAX($J1083-12,0),"")</f>
        <v/>
      </c>
    </row>
    <row r="1084">
      <c r="A1084" s="8" t="inlineStr">
        <is>
          <t>李厚强</t>
        </is>
      </c>
      <c r="B1084" s="8" t="inlineStr">
        <is>
          <t>8/29</t>
        </is>
      </c>
      <c r="C1084" s="8" t="inlineStr">
        <is>
          <t>六</t>
        </is>
      </c>
      <c r="D1084" s="8" t="inlineStr"/>
      <c r="E1084" s="9" t="n"/>
      <c r="F1084" s="9" t="n"/>
      <c r="G1084" s="10">
        <f>IF($E1084="","空卡",IF($F1084="","单卡","正常"))</f>
        <v/>
      </c>
      <c r="H1084" s="11">
        <f>IF($G1084="正常",ROUND(($F1084-$E1084)*1440,0),"")</f>
        <v/>
      </c>
      <c r="I1084" s="12">
        <f>IF($G1084="正常",$H1084/60,"")</f>
        <v/>
      </c>
      <c r="J1084" s="13">
        <f>IF($G1084="正常",ROUND($H1084/30,0)/2,"")</f>
        <v/>
      </c>
      <c r="K1084" s="13">
        <f>IF($G1084="正常",MIN($J1084,12),"")</f>
        <v/>
      </c>
      <c r="L1084" s="13">
        <f>IF($G1084="正常",MAX($J1084-12,0),"")</f>
        <v/>
      </c>
    </row>
    <row r="1085">
      <c r="A1085" s="8" t="inlineStr">
        <is>
          <t>李厚强</t>
        </is>
      </c>
      <c r="B1085" s="8" t="inlineStr">
        <is>
          <t>8/30</t>
        </is>
      </c>
      <c r="C1085" s="8" t="inlineStr">
        <is>
          <t>日</t>
        </is>
      </c>
      <c r="D1085" s="8" t="inlineStr"/>
      <c r="E1085" s="9" t="n"/>
      <c r="F1085" s="9" t="n"/>
      <c r="G1085" s="10">
        <f>IF($E1085="","空卡",IF($F1085="","单卡","正常"))</f>
        <v/>
      </c>
      <c r="H1085" s="11">
        <f>IF($G1085="正常",ROUND(($F1085-$E1085)*1440,0),"")</f>
        <v/>
      </c>
      <c r="I1085" s="12">
        <f>IF($G1085="正常",$H1085/60,"")</f>
        <v/>
      </c>
      <c r="J1085" s="13">
        <f>IF($G1085="正常",ROUND($H1085/30,0)/2,"")</f>
        <v/>
      </c>
      <c r="K1085" s="13">
        <f>IF($G1085="正常",MIN($J1085,12),"")</f>
        <v/>
      </c>
      <c r="L1085" s="13">
        <f>IF($G1085="正常",MAX($J1085-12,0),"")</f>
        <v/>
      </c>
    </row>
    <row r="1086">
      <c r="A1086" s="8" t="inlineStr">
        <is>
          <t>李厚强</t>
        </is>
      </c>
      <c r="B1086" s="8" t="inlineStr">
        <is>
          <t>8/31</t>
        </is>
      </c>
      <c r="C1086" s="8" t="inlineStr">
        <is>
          <t>一</t>
        </is>
      </c>
      <c r="D1086" s="8" t="inlineStr"/>
      <c r="E1086" s="9" t="n"/>
      <c r="F1086" s="9" t="n"/>
      <c r="G1086" s="10">
        <f>IF($E1086="","空卡",IF($F1086="","单卡","正常"))</f>
        <v/>
      </c>
      <c r="H1086" s="11">
        <f>IF($G1086="正常",ROUND(($F1086-$E1086)*1440,0),"")</f>
        <v/>
      </c>
      <c r="I1086" s="12">
        <f>IF($G1086="正常",$H1086/60,"")</f>
        <v/>
      </c>
      <c r="J1086" s="13">
        <f>IF($G1086="正常",ROUND($H1086/30,0)/2,"")</f>
        <v/>
      </c>
      <c r="K1086" s="13">
        <f>IF($G1086="正常",MIN($J1086,12),"")</f>
        <v/>
      </c>
      <c r="L1086" s="13">
        <f>IF($G1086="正常",MAX($J1086-12,0),"")</f>
        <v/>
      </c>
    </row>
    <row r="1087">
      <c r="A1087" s="8" t="inlineStr">
        <is>
          <t>刘常谦</t>
        </is>
      </c>
      <c r="B1087" s="8" t="inlineStr">
        <is>
          <t>8/1</t>
        </is>
      </c>
      <c r="C1087" s="8" t="inlineStr">
        <is>
          <t>六</t>
        </is>
      </c>
      <c r="D1087" s="8" t="inlineStr"/>
      <c r="E1087" s="9" t="n"/>
      <c r="F1087" s="9" t="n"/>
      <c r="G1087" s="10">
        <f>IF($E1087="","空卡",IF($F1087="","单卡","正常"))</f>
        <v/>
      </c>
      <c r="H1087" s="11">
        <f>IF($G1087="正常",ROUND(($F1087-$E1087)*1440,0),"")</f>
        <v/>
      </c>
      <c r="I1087" s="12">
        <f>IF($G1087="正常",$H1087/60,"")</f>
        <v/>
      </c>
      <c r="J1087" s="13">
        <f>IF($G1087="正常",ROUND($H1087/30,0)/2,"")</f>
        <v/>
      </c>
      <c r="K1087" s="13">
        <f>IF($G1087="正常",MIN($J1087,12),"")</f>
        <v/>
      </c>
      <c r="L1087" s="13">
        <f>IF($G1087="正常",MAX($J1087-12,0),"")</f>
        <v/>
      </c>
    </row>
    <row r="1088">
      <c r="A1088" s="3" t="inlineStr">
        <is>
          <t>刘常谦</t>
        </is>
      </c>
      <c r="B1088" s="3" t="inlineStr">
        <is>
          <t>8/2</t>
        </is>
      </c>
      <c r="C1088" s="3" t="inlineStr">
        <is>
          <t>日</t>
        </is>
      </c>
      <c r="D1088" s="3" t="inlineStr">
        <is>
          <t>07:54 15:05</t>
        </is>
      </c>
      <c r="E1088" s="4" t="n">
        <v>0.3291666666666667</v>
      </c>
      <c r="F1088" s="4" t="n">
        <v>0.6284722222222222</v>
      </c>
      <c r="G1088" s="3">
        <f>IF($E1088="","空卡",IF($F1088="","单卡","正常"))</f>
        <v/>
      </c>
      <c r="H1088" s="5">
        <f>IF($G1088="正常",ROUND(($F1088-$E1088)*1440,0),"")</f>
        <v/>
      </c>
      <c r="I1088" s="6">
        <f>IF($G1088="正常",$H1088/60,"")</f>
        <v/>
      </c>
      <c r="J1088" s="7">
        <f>IF($G1088="正常",ROUND($H1088/30,0)/2,"")</f>
        <v/>
      </c>
      <c r="K1088" s="7">
        <f>IF($G1088="正常",MIN($J1088,12),"")</f>
        <v/>
      </c>
      <c r="L1088" s="7">
        <f>IF($G1088="正常",MAX($J1088-12,0),"")</f>
        <v/>
      </c>
    </row>
    <row r="1089">
      <c r="A1089" s="3" t="inlineStr">
        <is>
          <t>刘常谦</t>
        </is>
      </c>
      <c r="B1089" s="3" t="inlineStr">
        <is>
          <t>8/3</t>
        </is>
      </c>
      <c r="C1089" s="3" t="inlineStr">
        <is>
          <t>一</t>
        </is>
      </c>
      <c r="D1089" s="3" t="inlineStr">
        <is>
          <t>08:19 08:24 15:30</t>
        </is>
      </c>
      <c r="E1089" s="4" t="n">
        <v>0.3465277777777778</v>
      </c>
      <c r="F1089" s="4" t="n">
        <v>0.6458333333333334</v>
      </c>
      <c r="G1089" s="3">
        <f>IF($E1089="","空卡",IF($F1089="","单卡","正常"))</f>
        <v/>
      </c>
      <c r="H1089" s="5">
        <f>IF($G1089="正常",ROUND(($F1089-$E1089)*1440,0),"")</f>
        <v/>
      </c>
      <c r="I1089" s="6">
        <f>IF($G1089="正常",$H1089/60,"")</f>
        <v/>
      </c>
      <c r="J1089" s="7">
        <f>IF($G1089="正常",ROUND($H1089/30,0)/2,"")</f>
        <v/>
      </c>
      <c r="K1089" s="7">
        <f>IF($G1089="正常",MIN($J1089,12),"")</f>
        <v/>
      </c>
      <c r="L1089" s="7">
        <f>IF($G1089="正常",MAX($J1089-12,0),"")</f>
        <v/>
      </c>
    </row>
    <row r="1090">
      <c r="A1090" s="8" t="inlineStr">
        <is>
          <t>刘常谦</t>
        </is>
      </c>
      <c r="B1090" s="8" t="inlineStr">
        <is>
          <t>8/4</t>
        </is>
      </c>
      <c r="C1090" s="8" t="inlineStr">
        <is>
          <t>二</t>
        </is>
      </c>
      <c r="D1090" s="8" t="inlineStr"/>
      <c r="E1090" s="9" t="n"/>
      <c r="F1090" s="9" t="n"/>
      <c r="G1090" s="10">
        <f>IF($E1090="","空卡",IF($F1090="","单卡","正常"))</f>
        <v/>
      </c>
      <c r="H1090" s="11">
        <f>IF($G1090="正常",ROUND(($F1090-$E1090)*1440,0),"")</f>
        <v/>
      </c>
      <c r="I1090" s="12">
        <f>IF($G1090="正常",$H1090/60,"")</f>
        <v/>
      </c>
      <c r="J1090" s="13">
        <f>IF($G1090="正常",ROUND($H1090/30,0)/2,"")</f>
        <v/>
      </c>
      <c r="K1090" s="13">
        <f>IF($G1090="正常",MIN($J1090,12),"")</f>
        <v/>
      </c>
      <c r="L1090" s="13">
        <f>IF($G1090="正常",MAX($J1090-12,0),"")</f>
        <v/>
      </c>
    </row>
    <row r="1091">
      <c r="A1091" s="8" t="inlineStr">
        <is>
          <t>刘常谦</t>
        </is>
      </c>
      <c r="B1091" s="8" t="inlineStr">
        <is>
          <t>8/5</t>
        </is>
      </c>
      <c r="C1091" s="8" t="inlineStr">
        <is>
          <t>三</t>
        </is>
      </c>
      <c r="D1091" s="8" t="inlineStr"/>
      <c r="E1091" s="9" t="n"/>
      <c r="F1091" s="9" t="n"/>
      <c r="G1091" s="10">
        <f>IF($E1091="","空卡",IF($F1091="","单卡","正常"))</f>
        <v/>
      </c>
      <c r="H1091" s="11">
        <f>IF($G1091="正常",ROUND(($F1091-$E1091)*1440,0),"")</f>
        <v/>
      </c>
      <c r="I1091" s="12">
        <f>IF($G1091="正常",$H1091/60,"")</f>
        <v/>
      </c>
      <c r="J1091" s="13">
        <f>IF($G1091="正常",ROUND($H1091/30,0)/2,"")</f>
        <v/>
      </c>
      <c r="K1091" s="13">
        <f>IF($G1091="正常",MIN($J1091,12),"")</f>
        <v/>
      </c>
      <c r="L1091" s="13">
        <f>IF($G1091="正常",MAX($J1091-12,0),"")</f>
        <v/>
      </c>
    </row>
    <row r="1092">
      <c r="A1092" s="3" t="inlineStr">
        <is>
          <t>刘常谦</t>
        </is>
      </c>
      <c r="B1092" s="3" t="inlineStr">
        <is>
          <t>8/6</t>
        </is>
      </c>
      <c r="C1092" s="3" t="inlineStr">
        <is>
          <t>四</t>
        </is>
      </c>
      <c r="D1092" s="3" t="inlineStr">
        <is>
          <t>08:53 19:07</t>
        </is>
      </c>
      <c r="E1092" s="4" t="n">
        <v>0.3701388888888889</v>
      </c>
      <c r="F1092" s="4" t="n">
        <v>0.7965277777777777</v>
      </c>
      <c r="G1092" s="3">
        <f>IF($E1092="","空卡",IF($F1092="","单卡","正常"))</f>
        <v/>
      </c>
      <c r="H1092" s="5">
        <f>IF($G1092="正常",ROUND(($F1092-$E1092)*1440,0),"")</f>
        <v/>
      </c>
      <c r="I1092" s="6">
        <f>IF($G1092="正常",$H1092/60,"")</f>
        <v/>
      </c>
      <c r="J1092" s="7">
        <f>IF($G1092="正常",ROUND($H1092/30,0)/2,"")</f>
        <v/>
      </c>
      <c r="K1092" s="7">
        <f>IF($G1092="正常",MIN($J1092,12),"")</f>
        <v/>
      </c>
      <c r="L1092" s="7">
        <f>IF($G1092="正常",MAX($J1092-12,0),"")</f>
        <v/>
      </c>
    </row>
    <row r="1093">
      <c r="A1093" s="3" t="inlineStr">
        <is>
          <t>刘常谦</t>
        </is>
      </c>
      <c r="B1093" s="3" t="inlineStr">
        <is>
          <t>8/7</t>
        </is>
      </c>
      <c r="C1093" s="3" t="inlineStr">
        <is>
          <t>五</t>
        </is>
      </c>
      <c r="D1093" s="3" t="inlineStr">
        <is>
          <t>07:53 19:30</t>
        </is>
      </c>
      <c r="E1093" s="4" t="n">
        <v>0.3284722222222222</v>
      </c>
      <c r="F1093" s="4" t="n">
        <v>0.8125</v>
      </c>
      <c r="G1093" s="3">
        <f>IF($E1093="","空卡",IF($F1093="","单卡","正常"))</f>
        <v/>
      </c>
      <c r="H1093" s="5">
        <f>IF($G1093="正常",ROUND(($F1093-$E1093)*1440,0),"")</f>
        <v/>
      </c>
      <c r="I1093" s="6">
        <f>IF($G1093="正常",$H1093/60,"")</f>
        <v/>
      </c>
      <c r="J1093" s="7">
        <f>IF($G1093="正常",ROUND($H1093/30,0)/2,"")</f>
        <v/>
      </c>
      <c r="K1093" s="7">
        <f>IF($G1093="正常",MIN($J1093,12),"")</f>
        <v/>
      </c>
      <c r="L1093" s="7">
        <f>IF($G1093="正常",MAX($J1093-12,0),"")</f>
        <v/>
      </c>
    </row>
    <row r="1094">
      <c r="A1094" s="3" t="inlineStr">
        <is>
          <t>刘常谦</t>
        </is>
      </c>
      <c r="B1094" s="3" t="inlineStr">
        <is>
          <t>8/8</t>
        </is>
      </c>
      <c r="C1094" s="3" t="inlineStr">
        <is>
          <t>六</t>
        </is>
      </c>
      <c r="D1094" s="3" t="inlineStr">
        <is>
          <t>08:16 19:39</t>
        </is>
      </c>
      <c r="E1094" s="4" t="n">
        <v>0.3444444444444444</v>
      </c>
      <c r="F1094" s="4" t="n">
        <v>0.81875</v>
      </c>
      <c r="G1094" s="3">
        <f>IF($E1094="","空卡",IF($F1094="","单卡","正常"))</f>
        <v/>
      </c>
      <c r="H1094" s="5">
        <f>IF($G1094="正常",ROUND(($F1094-$E1094)*1440,0),"")</f>
        <v/>
      </c>
      <c r="I1094" s="6">
        <f>IF($G1094="正常",$H1094/60,"")</f>
        <v/>
      </c>
      <c r="J1094" s="7">
        <f>IF($G1094="正常",ROUND($H1094/30,0)/2,"")</f>
        <v/>
      </c>
      <c r="K1094" s="7">
        <f>IF($G1094="正常",MIN($J1094,12),"")</f>
        <v/>
      </c>
      <c r="L1094" s="7">
        <f>IF($G1094="正常",MAX($J1094-12,0),"")</f>
        <v/>
      </c>
    </row>
    <row r="1095">
      <c r="A1095" s="8" t="inlineStr">
        <is>
          <t>刘常谦</t>
        </is>
      </c>
      <c r="B1095" s="8" t="inlineStr">
        <is>
          <t>8/9</t>
        </is>
      </c>
      <c r="C1095" s="8" t="inlineStr">
        <is>
          <t>日</t>
        </is>
      </c>
      <c r="D1095" s="8" t="inlineStr"/>
      <c r="E1095" s="9" t="n"/>
      <c r="F1095" s="9" t="n"/>
      <c r="G1095" s="10">
        <f>IF($E1095="","空卡",IF($F1095="","单卡","正常"))</f>
        <v/>
      </c>
      <c r="H1095" s="11">
        <f>IF($G1095="正常",ROUND(($F1095-$E1095)*1440,0),"")</f>
        <v/>
      </c>
      <c r="I1095" s="12">
        <f>IF($G1095="正常",$H1095/60,"")</f>
        <v/>
      </c>
      <c r="J1095" s="13">
        <f>IF($G1095="正常",ROUND($H1095/30,0)/2,"")</f>
        <v/>
      </c>
      <c r="K1095" s="13">
        <f>IF($G1095="正常",MIN($J1095,12),"")</f>
        <v/>
      </c>
      <c r="L1095" s="13">
        <f>IF($G1095="正常",MAX($J1095-12,0),"")</f>
        <v/>
      </c>
    </row>
    <row r="1096">
      <c r="A1096" s="3" t="inlineStr">
        <is>
          <t>刘常谦</t>
        </is>
      </c>
      <c r="B1096" s="3" t="inlineStr">
        <is>
          <t>8/10</t>
        </is>
      </c>
      <c r="C1096" s="3" t="inlineStr">
        <is>
          <t>一</t>
        </is>
      </c>
      <c r="D1096" s="3" t="inlineStr">
        <is>
          <t>08:17 19:57</t>
        </is>
      </c>
      <c r="E1096" s="4" t="n">
        <v>0.3451388888888889</v>
      </c>
      <c r="F1096" s="4" t="n">
        <v>0.83125</v>
      </c>
      <c r="G1096" s="3">
        <f>IF($E1096="","空卡",IF($F1096="","单卡","正常"))</f>
        <v/>
      </c>
      <c r="H1096" s="5">
        <f>IF($G1096="正常",ROUND(($F1096-$E1096)*1440,0),"")</f>
        <v/>
      </c>
      <c r="I1096" s="6">
        <f>IF($G1096="正常",$H1096/60,"")</f>
        <v/>
      </c>
      <c r="J1096" s="7">
        <f>IF($G1096="正常",ROUND($H1096/30,0)/2,"")</f>
        <v/>
      </c>
      <c r="K1096" s="7">
        <f>IF($G1096="正常",MIN($J1096,12),"")</f>
        <v/>
      </c>
      <c r="L1096" s="7">
        <f>IF($G1096="正常",MAX($J1096-12,0),"")</f>
        <v/>
      </c>
    </row>
    <row r="1097">
      <c r="A1097" s="3" t="inlineStr">
        <is>
          <t>刘常谦</t>
        </is>
      </c>
      <c r="B1097" s="3" t="inlineStr">
        <is>
          <t>8/11</t>
        </is>
      </c>
      <c r="C1097" s="3" t="inlineStr">
        <is>
          <t>二</t>
        </is>
      </c>
      <c r="D1097" s="3" t="inlineStr">
        <is>
          <t>08:15 08:23 18:07</t>
        </is>
      </c>
      <c r="E1097" s="4" t="n">
        <v>0.34375</v>
      </c>
      <c r="F1097" s="4" t="n">
        <v>0.7548611111111111</v>
      </c>
      <c r="G1097" s="3">
        <f>IF($E1097="","空卡",IF($F1097="","单卡","正常"))</f>
        <v/>
      </c>
      <c r="H1097" s="5">
        <f>IF($G1097="正常",ROUND(($F1097-$E1097)*1440,0),"")</f>
        <v/>
      </c>
      <c r="I1097" s="6">
        <f>IF($G1097="正常",$H1097/60,"")</f>
        <v/>
      </c>
      <c r="J1097" s="7">
        <f>IF($G1097="正常",ROUND($H1097/30,0)/2,"")</f>
        <v/>
      </c>
      <c r="K1097" s="7">
        <f>IF($G1097="正常",MIN($J1097,12),"")</f>
        <v/>
      </c>
      <c r="L1097" s="7">
        <f>IF($G1097="正常",MAX($J1097-12,0),"")</f>
        <v/>
      </c>
    </row>
    <row r="1098">
      <c r="A1098" s="3" t="inlineStr">
        <is>
          <t>刘常谦</t>
        </is>
      </c>
      <c r="B1098" s="3" t="inlineStr">
        <is>
          <t>8/12</t>
        </is>
      </c>
      <c r="C1098" s="3" t="inlineStr">
        <is>
          <t>三</t>
        </is>
      </c>
      <c r="D1098" s="3" t="inlineStr">
        <is>
          <t>09:50 18:35</t>
        </is>
      </c>
      <c r="E1098" s="4" t="n">
        <v>0.4097222222222222</v>
      </c>
      <c r="F1098" s="4" t="n">
        <v>0.7743055555555556</v>
      </c>
      <c r="G1098" s="3">
        <f>IF($E1098="","空卡",IF($F1098="","单卡","正常"))</f>
        <v/>
      </c>
      <c r="H1098" s="5">
        <f>IF($G1098="正常",ROUND(($F1098-$E1098)*1440,0),"")</f>
        <v/>
      </c>
      <c r="I1098" s="6">
        <f>IF($G1098="正常",$H1098/60,"")</f>
        <v/>
      </c>
      <c r="J1098" s="7">
        <f>IF($G1098="正常",ROUND($H1098/30,0)/2,"")</f>
        <v/>
      </c>
      <c r="K1098" s="7">
        <f>IF($G1098="正常",MIN($J1098,12),"")</f>
        <v/>
      </c>
      <c r="L1098" s="7">
        <f>IF($G1098="正常",MAX($J1098-12,0),"")</f>
        <v/>
      </c>
    </row>
    <row r="1099">
      <c r="A1099" s="3" t="inlineStr">
        <is>
          <t>刘常谦</t>
        </is>
      </c>
      <c r="B1099" s="3" t="inlineStr">
        <is>
          <t>8/13</t>
        </is>
      </c>
      <c r="C1099" s="3" t="inlineStr">
        <is>
          <t>四</t>
        </is>
      </c>
      <c r="D1099" s="3" t="inlineStr">
        <is>
          <t>08:19 19:03</t>
        </is>
      </c>
      <c r="E1099" s="4" t="n">
        <v>0.3465277777777778</v>
      </c>
      <c r="F1099" s="4" t="n">
        <v>0.79375</v>
      </c>
      <c r="G1099" s="3">
        <f>IF($E1099="","空卡",IF($F1099="","单卡","正常"))</f>
        <v/>
      </c>
      <c r="H1099" s="5">
        <f>IF($G1099="正常",ROUND(($F1099-$E1099)*1440,0),"")</f>
        <v/>
      </c>
      <c r="I1099" s="6">
        <f>IF($G1099="正常",$H1099/60,"")</f>
        <v/>
      </c>
      <c r="J1099" s="7">
        <f>IF($G1099="正常",ROUND($H1099/30,0)/2,"")</f>
        <v/>
      </c>
      <c r="K1099" s="7">
        <f>IF($G1099="正常",MIN($J1099,12),"")</f>
        <v/>
      </c>
      <c r="L1099" s="7">
        <f>IF($G1099="正常",MAX($J1099-12,0),"")</f>
        <v/>
      </c>
    </row>
    <row r="1100">
      <c r="A1100" s="3" t="inlineStr">
        <is>
          <t>刘常谦</t>
        </is>
      </c>
      <c r="B1100" s="3" t="inlineStr">
        <is>
          <t>8/14</t>
        </is>
      </c>
      <c r="C1100" s="3" t="inlineStr">
        <is>
          <t>五</t>
        </is>
      </c>
      <c r="D1100" s="3" t="inlineStr">
        <is>
          <t>08:19 20:55</t>
        </is>
      </c>
      <c r="E1100" s="4" t="n">
        <v>0.3465277777777778</v>
      </c>
      <c r="F1100" s="4" t="n">
        <v>0.8715277777777778</v>
      </c>
      <c r="G1100" s="3">
        <f>IF($E1100="","空卡",IF($F1100="","单卡","正常"))</f>
        <v/>
      </c>
      <c r="H1100" s="5">
        <f>IF($G1100="正常",ROUND(($F1100-$E1100)*1440,0),"")</f>
        <v/>
      </c>
      <c r="I1100" s="6">
        <f>IF($G1100="正常",$H1100/60,"")</f>
        <v/>
      </c>
      <c r="J1100" s="7">
        <f>IF($G1100="正常",ROUND($H1100/30,0)/2,"")</f>
        <v/>
      </c>
      <c r="K1100" s="7">
        <f>IF($G1100="正常",MIN($J1100,12),"")</f>
        <v/>
      </c>
      <c r="L1100" s="7">
        <f>IF($G1100="正常",MAX($J1100-12,0),"")</f>
        <v/>
      </c>
    </row>
    <row r="1101">
      <c r="A1101" s="3" t="inlineStr">
        <is>
          <t>刘常谦</t>
        </is>
      </c>
      <c r="B1101" s="3" t="inlineStr">
        <is>
          <t>8/15</t>
        </is>
      </c>
      <c r="C1101" s="3" t="inlineStr">
        <is>
          <t>六</t>
        </is>
      </c>
      <c r="D1101" s="3" t="inlineStr">
        <is>
          <t>06:49 19:00</t>
        </is>
      </c>
      <c r="E1101" s="4" t="n">
        <v>0.2840277777777778</v>
      </c>
      <c r="F1101" s="4" t="n">
        <v>0.7916666666666666</v>
      </c>
      <c r="G1101" s="3">
        <f>IF($E1101="","空卡",IF($F1101="","单卡","正常"))</f>
        <v/>
      </c>
      <c r="H1101" s="5">
        <f>IF($G1101="正常",ROUND(($F1101-$E1101)*1440,0),"")</f>
        <v/>
      </c>
      <c r="I1101" s="6">
        <f>IF($G1101="正常",$H1101/60,"")</f>
        <v/>
      </c>
      <c r="J1101" s="7">
        <f>IF($G1101="正常",ROUND($H1101/30,0)/2,"")</f>
        <v/>
      </c>
      <c r="K1101" s="7">
        <f>IF($G1101="正常",MIN($J1101,12),"")</f>
        <v/>
      </c>
      <c r="L1101" s="7">
        <f>IF($G1101="正常",MAX($J1101-12,0),"")</f>
        <v/>
      </c>
    </row>
    <row r="1102">
      <c r="A1102" s="8" t="inlineStr">
        <is>
          <t>刘常谦</t>
        </is>
      </c>
      <c r="B1102" s="8" t="inlineStr">
        <is>
          <t>8/16</t>
        </is>
      </c>
      <c r="C1102" s="8" t="inlineStr">
        <is>
          <t>日</t>
        </is>
      </c>
      <c r="D1102" s="8" t="inlineStr"/>
      <c r="E1102" s="9" t="n"/>
      <c r="F1102" s="9" t="n"/>
      <c r="G1102" s="10">
        <f>IF($E1102="","空卡",IF($F1102="","单卡","正常"))</f>
        <v/>
      </c>
      <c r="H1102" s="11">
        <f>IF($G1102="正常",ROUND(($F1102-$E1102)*1440,0),"")</f>
        <v/>
      </c>
      <c r="I1102" s="12">
        <f>IF($G1102="正常",$H1102/60,"")</f>
        <v/>
      </c>
      <c r="J1102" s="13">
        <f>IF($G1102="正常",ROUND($H1102/30,0)/2,"")</f>
        <v/>
      </c>
      <c r="K1102" s="13">
        <f>IF($G1102="正常",MIN($J1102,12),"")</f>
        <v/>
      </c>
      <c r="L1102" s="13">
        <f>IF($G1102="正常",MAX($J1102-12,0),"")</f>
        <v/>
      </c>
    </row>
    <row r="1103">
      <c r="A1103" s="3" t="inlineStr">
        <is>
          <t>刘常谦</t>
        </is>
      </c>
      <c r="B1103" s="3" t="inlineStr">
        <is>
          <t>8/17</t>
        </is>
      </c>
      <c r="C1103" s="3" t="inlineStr">
        <is>
          <t>一</t>
        </is>
      </c>
      <c r="D1103" s="3" t="inlineStr">
        <is>
          <t>07:46 19:58</t>
        </is>
      </c>
      <c r="E1103" s="4" t="n">
        <v>0.3236111111111111</v>
      </c>
      <c r="F1103" s="4" t="n">
        <v>0.8319444444444445</v>
      </c>
      <c r="G1103" s="3">
        <f>IF($E1103="","空卡",IF($F1103="","单卡","正常"))</f>
        <v/>
      </c>
      <c r="H1103" s="5">
        <f>IF($G1103="正常",ROUND(($F1103-$E1103)*1440,0),"")</f>
        <v/>
      </c>
      <c r="I1103" s="6">
        <f>IF($G1103="正常",$H1103/60,"")</f>
        <v/>
      </c>
      <c r="J1103" s="7">
        <f>IF($G1103="正常",ROUND($H1103/30,0)/2,"")</f>
        <v/>
      </c>
      <c r="K1103" s="7">
        <f>IF($G1103="正常",MIN($J1103,12),"")</f>
        <v/>
      </c>
      <c r="L1103" s="7">
        <f>IF($G1103="正常",MAX($J1103-12,0),"")</f>
        <v/>
      </c>
    </row>
    <row r="1104">
      <c r="A1104" s="3" t="inlineStr">
        <is>
          <t>刘常谦</t>
        </is>
      </c>
      <c r="B1104" s="3" t="inlineStr">
        <is>
          <t>8/18</t>
        </is>
      </c>
      <c r="C1104" s="3" t="inlineStr">
        <is>
          <t>二</t>
        </is>
      </c>
      <c r="D1104" s="3" t="inlineStr">
        <is>
          <t>07:49 18:56</t>
        </is>
      </c>
      <c r="E1104" s="4" t="n">
        <v>0.3256944444444445</v>
      </c>
      <c r="F1104" s="4" t="n">
        <v>0.7888888888888889</v>
      </c>
      <c r="G1104" s="3">
        <f>IF($E1104="","空卡",IF($F1104="","单卡","正常"))</f>
        <v/>
      </c>
      <c r="H1104" s="5">
        <f>IF($G1104="正常",ROUND(($F1104-$E1104)*1440,0),"")</f>
        <v/>
      </c>
      <c r="I1104" s="6">
        <f>IF($G1104="正常",$H1104/60,"")</f>
        <v/>
      </c>
      <c r="J1104" s="7">
        <f>IF($G1104="正常",ROUND($H1104/30,0)/2,"")</f>
        <v/>
      </c>
      <c r="K1104" s="7">
        <f>IF($G1104="正常",MIN($J1104,12),"")</f>
        <v/>
      </c>
      <c r="L1104" s="7">
        <f>IF($G1104="正常",MAX($J1104-12,0),"")</f>
        <v/>
      </c>
    </row>
    <row r="1105">
      <c r="A1105" s="3" t="inlineStr">
        <is>
          <t>刘常谦</t>
        </is>
      </c>
      <c r="B1105" s="3" t="inlineStr">
        <is>
          <t>8/19</t>
        </is>
      </c>
      <c r="C1105" s="3" t="inlineStr">
        <is>
          <t>三</t>
        </is>
      </c>
      <c r="D1105" s="3" t="inlineStr">
        <is>
          <t>07:20 20:30</t>
        </is>
      </c>
      <c r="E1105" s="4" t="n">
        <v>0.3055555555555556</v>
      </c>
      <c r="F1105" s="4" t="n">
        <v>0.8541666666666666</v>
      </c>
      <c r="G1105" s="3">
        <f>IF($E1105="","空卡",IF($F1105="","单卡","正常"))</f>
        <v/>
      </c>
      <c r="H1105" s="5">
        <f>IF($G1105="正常",ROUND(($F1105-$E1105)*1440,0),"")</f>
        <v/>
      </c>
      <c r="I1105" s="6">
        <f>IF($G1105="正常",$H1105/60,"")</f>
        <v/>
      </c>
      <c r="J1105" s="7">
        <f>IF($G1105="正常",ROUND($H1105/30,0)/2,"")</f>
        <v/>
      </c>
      <c r="K1105" s="7">
        <f>IF($G1105="正常",MIN($J1105,12),"")</f>
        <v/>
      </c>
      <c r="L1105" s="7">
        <f>IF($G1105="正常",MAX($J1105-12,0),"")</f>
        <v/>
      </c>
    </row>
    <row r="1106">
      <c r="A1106" s="3" t="inlineStr">
        <is>
          <t>刘常谦</t>
        </is>
      </c>
      <c r="B1106" s="3" t="inlineStr">
        <is>
          <t>8/20</t>
        </is>
      </c>
      <c r="C1106" s="3" t="inlineStr">
        <is>
          <t>四</t>
        </is>
      </c>
      <c r="D1106" s="3" t="inlineStr">
        <is>
          <t>10:29 19:57</t>
        </is>
      </c>
      <c r="E1106" s="4" t="n">
        <v>0.4368055555555556</v>
      </c>
      <c r="F1106" s="4" t="n">
        <v>0.83125</v>
      </c>
      <c r="G1106" s="3">
        <f>IF($E1106="","空卡",IF($F1106="","单卡","正常"))</f>
        <v/>
      </c>
      <c r="H1106" s="5">
        <f>IF($G1106="正常",ROUND(($F1106-$E1106)*1440,0),"")</f>
        <v/>
      </c>
      <c r="I1106" s="6">
        <f>IF($G1106="正常",$H1106/60,"")</f>
        <v/>
      </c>
      <c r="J1106" s="7">
        <f>IF($G1106="正常",ROUND($H1106/30,0)/2,"")</f>
        <v/>
      </c>
      <c r="K1106" s="7">
        <f>IF($G1106="正常",MIN($J1106,12),"")</f>
        <v/>
      </c>
      <c r="L1106" s="7">
        <f>IF($G1106="正常",MAX($J1106-12,0),"")</f>
        <v/>
      </c>
    </row>
    <row r="1107">
      <c r="A1107" s="3" t="inlineStr">
        <is>
          <t>刘常谦</t>
        </is>
      </c>
      <c r="B1107" s="3" t="inlineStr">
        <is>
          <t>8/21</t>
        </is>
      </c>
      <c r="C1107" s="3" t="inlineStr">
        <is>
          <t>五</t>
        </is>
      </c>
      <c r="D1107" s="3" t="inlineStr">
        <is>
          <t>06:49 19:02</t>
        </is>
      </c>
      <c r="E1107" s="4" t="n">
        <v>0.2840277777777778</v>
      </c>
      <c r="F1107" s="4" t="n">
        <v>0.7930555555555555</v>
      </c>
      <c r="G1107" s="3">
        <f>IF($E1107="","空卡",IF($F1107="","单卡","正常"))</f>
        <v/>
      </c>
      <c r="H1107" s="5">
        <f>IF($G1107="正常",ROUND(($F1107-$E1107)*1440,0),"")</f>
        <v/>
      </c>
      <c r="I1107" s="6">
        <f>IF($G1107="正常",$H1107/60,"")</f>
        <v/>
      </c>
      <c r="J1107" s="7">
        <f>IF($G1107="正常",ROUND($H1107/30,0)/2,"")</f>
        <v/>
      </c>
      <c r="K1107" s="7">
        <f>IF($G1107="正常",MIN($J1107,12),"")</f>
        <v/>
      </c>
      <c r="L1107" s="7">
        <f>IF($G1107="正常",MAX($J1107-12,0),"")</f>
        <v/>
      </c>
    </row>
    <row r="1108">
      <c r="A1108" s="3" t="inlineStr">
        <is>
          <t>刘常谦</t>
        </is>
      </c>
      <c r="B1108" s="3" t="inlineStr">
        <is>
          <t>8/22</t>
        </is>
      </c>
      <c r="C1108" s="3" t="inlineStr">
        <is>
          <t>六</t>
        </is>
      </c>
      <c r="D1108" s="3" t="inlineStr">
        <is>
          <t>06:49 18:30</t>
        </is>
      </c>
      <c r="E1108" s="4" t="n">
        <v>0.2840277777777778</v>
      </c>
      <c r="F1108" s="4" t="n">
        <v>0.7708333333333334</v>
      </c>
      <c r="G1108" s="3">
        <f>IF($E1108="","空卡",IF($F1108="","单卡","正常"))</f>
        <v/>
      </c>
      <c r="H1108" s="5">
        <f>IF($G1108="正常",ROUND(($F1108-$E1108)*1440,0),"")</f>
        <v/>
      </c>
      <c r="I1108" s="6">
        <f>IF($G1108="正常",$H1108/60,"")</f>
        <v/>
      </c>
      <c r="J1108" s="7">
        <f>IF($G1108="正常",ROUND($H1108/30,0)/2,"")</f>
        <v/>
      </c>
      <c r="K1108" s="7">
        <f>IF($G1108="正常",MIN($J1108,12),"")</f>
        <v/>
      </c>
      <c r="L1108" s="7">
        <f>IF($G1108="正常",MAX($J1108-12,0),"")</f>
        <v/>
      </c>
    </row>
    <row r="1109">
      <c r="A1109" s="3" t="inlineStr">
        <is>
          <t>刘常谦</t>
        </is>
      </c>
      <c r="B1109" s="3" t="inlineStr">
        <is>
          <t>8/23</t>
        </is>
      </c>
      <c r="C1109" s="3" t="inlineStr">
        <is>
          <t>日</t>
        </is>
      </c>
      <c r="D1109" s="3" t="inlineStr">
        <is>
          <t>06:48 18:02</t>
        </is>
      </c>
      <c r="E1109" s="4" t="n">
        <v>0.2833333333333333</v>
      </c>
      <c r="F1109" s="4" t="n">
        <v>0.7513888888888889</v>
      </c>
      <c r="G1109" s="3">
        <f>IF($E1109="","空卡",IF($F1109="","单卡","正常"))</f>
        <v/>
      </c>
      <c r="H1109" s="5">
        <f>IF($G1109="正常",ROUND(($F1109-$E1109)*1440,0),"")</f>
        <v/>
      </c>
      <c r="I1109" s="6">
        <f>IF($G1109="正常",$H1109/60,"")</f>
        <v/>
      </c>
      <c r="J1109" s="7">
        <f>IF($G1109="正常",ROUND($H1109/30,0)/2,"")</f>
        <v/>
      </c>
      <c r="K1109" s="7">
        <f>IF($G1109="正常",MIN($J1109,12),"")</f>
        <v/>
      </c>
      <c r="L1109" s="7">
        <f>IF($G1109="正常",MAX($J1109-12,0),"")</f>
        <v/>
      </c>
    </row>
    <row r="1110">
      <c r="A1110" s="3" t="inlineStr">
        <is>
          <t>刘常谦</t>
        </is>
      </c>
      <c r="B1110" s="3" t="inlineStr">
        <is>
          <t>8/24</t>
        </is>
      </c>
      <c r="C1110" s="3" t="inlineStr">
        <is>
          <t>一</t>
        </is>
      </c>
      <c r="D1110" s="3" t="inlineStr">
        <is>
          <t>06:54 16:37</t>
        </is>
      </c>
      <c r="E1110" s="4" t="n">
        <v>0.2875</v>
      </c>
      <c r="F1110" s="4" t="n">
        <v>0.6923611111111111</v>
      </c>
      <c r="G1110" s="3">
        <f>IF($E1110="","空卡",IF($F1110="","单卡","正常"))</f>
        <v/>
      </c>
      <c r="H1110" s="5">
        <f>IF($G1110="正常",ROUND(($F1110-$E1110)*1440,0),"")</f>
        <v/>
      </c>
      <c r="I1110" s="6">
        <f>IF($G1110="正常",$H1110/60,"")</f>
        <v/>
      </c>
      <c r="J1110" s="7">
        <f>IF($G1110="正常",ROUND($H1110/30,0)/2,"")</f>
        <v/>
      </c>
      <c r="K1110" s="7">
        <f>IF($G1110="正常",MIN($J1110,12),"")</f>
        <v/>
      </c>
      <c r="L1110" s="7">
        <f>IF($G1110="正常",MAX($J1110-12,0),"")</f>
        <v/>
      </c>
    </row>
    <row r="1111">
      <c r="A1111" s="3" t="inlineStr">
        <is>
          <t>刘常谦</t>
        </is>
      </c>
      <c r="B1111" s="3" t="inlineStr">
        <is>
          <t>8/25</t>
        </is>
      </c>
      <c r="C1111" s="3" t="inlineStr">
        <is>
          <t>二</t>
        </is>
      </c>
      <c r="D1111" s="3" t="inlineStr">
        <is>
          <t>08:08 18:37</t>
        </is>
      </c>
      <c r="E1111" s="4" t="n">
        <v>0.3388888888888889</v>
      </c>
      <c r="F1111" s="4" t="n">
        <v>0.7756944444444445</v>
      </c>
      <c r="G1111" s="3">
        <f>IF($E1111="","空卡",IF($F1111="","单卡","正常"))</f>
        <v/>
      </c>
      <c r="H1111" s="5">
        <f>IF($G1111="正常",ROUND(($F1111-$E1111)*1440,0),"")</f>
        <v/>
      </c>
      <c r="I1111" s="6">
        <f>IF($G1111="正常",$H1111/60,"")</f>
        <v/>
      </c>
      <c r="J1111" s="7">
        <f>IF($G1111="正常",ROUND($H1111/30,0)/2,"")</f>
        <v/>
      </c>
      <c r="K1111" s="7">
        <f>IF($G1111="正常",MIN($J1111,12),"")</f>
        <v/>
      </c>
      <c r="L1111" s="7">
        <f>IF($G1111="正常",MAX($J1111-12,0),"")</f>
        <v/>
      </c>
    </row>
    <row r="1112">
      <c r="A1112" s="3" t="inlineStr">
        <is>
          <t>刘常谦</t>
        </is>
      </c>
      <c r="B1112" s="3" t="inlineStr">
        <is>
          <t>8/26</t>
        </is>
      </c>
      <c r="C1112" s="3" t="inlineStr">
        <is>
          <t>三</t>
        </is>
      </c>
      <c r="D1112" s="3" t="inlineStr">
        <is>
          <t>07:46 18:57</t>
        </is>
      </c>
      <c r="E1112" s="4" t="n">
        <v>0.3236111111111111</v>
      </c>
      <c r="F1112" s="4" t="n">
        <v>0.7895833333333333</v>
      </c>
      <c r="G1112" s="3">
        <f>IF($E1112="","空卡",IF($F1112="","单卡","正常"))</f>
        <v/>
      </c>
      <c r="H1112" s="5">
        <f>IF($G1112="正常",ROUND(($F1112-$E1112)*1440,0),"")</f>
        <v/>
      </c>
      <c r="I1112" s="6">
        <f>IF($G1112="正常",$H1112/60,"")</f>
        <v/>
      </c>
      <c r="J1112" s="7">
        <f>IF($G1112="正常",ROUND($H1112/30,0)/2,"")</f>
        <v/>
      </c>
      <c r="K1112" s="7">
        <f>IF($G1112="正常",MIN($J1112,12),"")</f>
        <v/>
      </c>
      <c r="L1112" s="7">
        <f>IF($G1112="正常",MAX($J1112-12,0),"")</f>
        <v/>
      </c>
    </row>
    <row r="1113">
      <c r="A1113" s="3" t="inlineStr">
        <is>
          <t>刘常谦</t>
        </is>
      </c>
      <c r="B1113" s="3" t="inlineStr">
        <is>
          <t>8/27</t>
        </is>
      </c>
      <c r="C1113" s="3" t="inlineStr">
        <is>
          <t>四</t>
        </is>
      </c>
      <c r="D1113" s="3" t="inlineStr">
        <is>
          <t>07:48 19:08</t>
        </is>
      </c>
      <c r="E1113" s="4" t="n">
        <v>0.325</v>
      </c>
      <c r="F1113" s="4" t="n">
        <v>0.7972222222222223</v>
      </c>
      <c r="G1113" s="3">
        <f>IF($E1113="","空卡",IF($F1113="","单卡","正常"))</f>
        <v/>
      </c>
      <c r="H1113" s="5">
        <f>IF($G1113="正常",ROUND(($F1113-$E1113)*1440,0),"")</f>
        <v/>
      </c>
      <c r="I1113" s="6">
        <f>IF($G1113="正常",$H1113/60,"")</f>
        <v/>
      </c>
      <c r="J1113" s="7">
        <f>IF($G1113="正常",ROUND($H1113/30,0)/2,"")</f>
        <v/>
      </c>
      <c r="K1113" s="7">
        <f>IF($G1113="正常",MIN($J1113,12),"")</f>
        <v/>
      </c>
      <c r="L1113" s="7">
        <f>IF($G1113="正常",MAX($J1113-12,0),"")</f>
        <v/>
      </c>
    </row>
    <row r="1114">
      <c r="A1114" s="3" t="inlineStr">
        <is>
          <t>刘常谦</t>
        </is>
      </c>
      <c r="B1114" s="3" t="inlineStr">
        <is>
          <t>8/28</t>
        </is>
      </c>
      <c r="C1114" s="3" t="inlineStr">
        <is>
          <t>五</t>
        </is>
      </c>
      <c r="D1114" s="3" t="inlineStr">
        <is>
          <t>07:47 16:32</t>
        </is>
      </c>
      <c r="E1114" s="4" t="n">
        <v>0.3243055555555556</v>
      </c>
      <c r="F1114" s="4" t="n">
        <v>0.6888888888888889</v>
      </c>
      <c r="G1114" s="3">
        <f>IF($E1114="","空卡",IF($F1114="","单卡","正常"))</f>
        <v/>
      </c>
      <c r="H1114" s="5">
        <f>IF($G1114="正常",ROUND(($F1114-$E1114)*1440,0),"")</f>
        <v/>
      </c>
      <c r="I1114" s="6">
        <f>IF($G1114="正常",$H1114/60,"")</f>
        <v/>
      </c>
      <c r="J1114" s="7">
        <f>IF($G1114="正常",ROUND($H1114/30,0)/2,"")</f>
        <v/>
      </c>
      <c r="K1114" s="7">
        <f>IF($G1114="正常",MIN($J1114,12),"")</f>
        <v/>
      </c>
      <c r="L1114" s="7">
        <f>IF($G1114="正常",MAX($J1114-12,0),"")</f>
        <v/>
      </c>
    </row>
    <row r="1115">
      <c r="A1115" s="3" t="inlineStr">
        <is>
          <t>刘常谦</t>
        </is>
      </c>
      <c r="B1115" s="3" t="inlineStr">
        <is>
          <t>8/29</t>
        </is>
      </c>
      <c r="C1115" s="3" t="inlineStr">
        <is>
          <t>六</t>
        </is>
      </c>
      <c r="D1115" s="3" t="inlineStr">
        <is>
          <t>07:46 21:57</t>
        </is>
      </c>
      <c r="E1115" s="4" t="n">
        <v>0.3236111111111111</v>
      </c>
      <c r="F1115" s="4" t="n">
        <v>0.9145833333333333</v>
      </c>
      <c r="G1115" s="3">
        <f>IF($E1115="","空卡",IF($F1115="","单卡","正常"))</f>
        <v/>
      </c>
      <c r="H1115" s="5">
        <f>IF($G1115="正常",ROUND(($F1115-$E1115)*1440,0),"")</f>
        <v/>
      </c>
      <c r="I1115" s="6">
        <f>IF($G1115="正常",$H1115/60,"")</f>
        <v/>
      </c>
      <c r="J1115" s="7">
        <f>IF($G1115="正常",ROUND($H1115/30,0)/2,"")</f>
        <v/>
      </c>
      <c r="K1115" s="7">
        <f>IF($G1115="正常",MIN($J1115,12),"")</f>
        <v/>
      </c>
      <c r="L1115" s="7">
        <f>IF($G1115="正常",MAX($J1115-12,0),"")</f>
        <v/>
      </c>
    </row>
    <row r="1116">
      <c r="A1116" s="3" t="inlineStr">
        <is>
          <t>刘常谦</t>
        </is>
      </c>
      <c r="B1116" s="3" t="inlineStr">
        <is>
          <t>8/30</t>
        </is>
      </c>
      <c r="C1116" s="3" t="inlineStr">
        <is>
          <t>日</t>
        </is>
      </c>
      <c r="D1116" s="3" t="inlineStr">
        <is>
          <t>07:53 18:53</t>
        </is>
      </c>
      <c r="E1116" s="4" t="n">
        <v>0.3284722222222222</v>
      </c>
      <c r="F1116" s="4" t="n">
        <v>0.7868055555555555</v>
      </c>
      <c r="G1116" s="3">
        <f>IF($E1116="","空卡",IF($F1116="","单卡","正常"))</f>
        <v/>
      </c>
      <c r="H1116" s="5">
        <f>IF($G1116="正常",ROUND(($F1116-$E1116)*1440,0),"")</f>
        <v/>
      </c>
      <c r="I1116" s="6">
        <f>IF($G1116="正常",$H1116/60,"")</f>
        <v/>
      </c>
      <c r="J1116" s="7">
        <f>IF($G1116="正常",ROUND($H1116/30,0)/2,"")</f>
        <v/>
      </c>
      <c r="K1116" s="7">
        <f>IF($G1116="正常",MIN($J1116,12),"")</f>
        <v/>
      </c>
      <c r="L1116" s="7">
        <f>IF($G1116="正常",MAX($J1116-12,0),"")</f>
        <v/>
      </c>
    </row>
    <row r="1117">
      <c r="A1117" s="8" t="inlineStr">
        <is>
          <t>刘常谦</t>
        </is>
      </c>
      <c r="B1117" s="8" t="inlineStr">
        <is>
          <t>8/31</t>
        </is>
      </c>
      <c r="C1117" s="8" t="inlineStr">
        <is>
          <t>一</t>
        </is>
      </c>
      <c r="D1117" s="8" t="inlineStr"/>
      <c r="E1117" s="9" t="n"/>
      <c r="F1117" s="9" t="n"/>
      <c r="G1117" s="10">
        <f>IF($E1117="","空卡",IF($F1117="","单卡","正常"))</f>
        <v/>
      </c>
      <c r="H1117" s="11">
        <f>IF($G1117="正常",ROUND(($F1117-$E1117)*1440,0),"")</f>
        <v/>
      </c>
      <c r="I1117" s="12">
        <f>IF($G1117="正常",$H1117/60,"")</f>
        <v/>
      </c>
      <c r="J1117" s="13">
        <f>IF($G1117="正常",ROUND($H1117/30,0)/2,"")</f>
        <v/>
      </c>
      <c r="K1117" s="13">
        <f>IF($G1117="正常",MIN($J1117,12),"")</f>
        <v/>
      </c>
      <c r="L1117" s="13">
        <f>IF($G1117="正常",MAX($J1117-12,0),"")</f>
        <v/>
      </c>
    </row>
    <row r="1118">
      <c r="A1118" s="3" t="inlineStr">
        <is>
          <t>王召会</t>
        </is>
      </c>
      <c r="B1118" s="3" t="inlineStr">
        <is>
          <t>8/1</t>
        </is>
      </c>
      <c r="C1118" s="3" t="inlineStr">
        <is>
          <t>六</t>
        </is>
      </c>
      <c r="D1118" s="3" t="inlineStr">
        <is>
          <t>08:00 17:22</t>
        </is>
      </c>
      <c r="E1118" s="4" t="n">
        <v>0.3333333333333333</v>
      </c>
      <c r="F1118" s="4" t="n">
        <v>0.7236111111111111</v>
      </c>
      <c r="G1118" s="3">
        <f>IF($E1118="","空卡",IF($F1118="","单卡","正常"))</f>
        <v/>
      </c>
      <c r="H1118" s="5">
        <f>IF($G1118="正常",ROUND(($F1118-$E1118)*1440,0),"")</f>
        <v/>
      </c>
      <c r="I1118" s="6">
        <f>IF($G1118="正常",$H1118/60,"")</f>
        <v/>
      </c>
      <c r="J1118" s="7">
        <f>IF($G1118="正常",ROUND($H1118/30,0)/2,"")</f>
        <v/>
      </c>
      <c r="K1118" s="7">
        <f>IF($G1118="正常",MIN($J1118,12),"")</f>
        <v/>
      </c>
      <c r="L1118" s="7">
        <f>IF($G1118="正常",MAX($J1118-12,0),"")</f>
        <v/>
      </c>
    </row>
    <row r="1119">
      <c r="A1119" s="3" t="inlineStr">
        <is>
          <t>王召会</t>
        </is>
      </c>
      <c r="B1119" s="3" t="inlineStr">
        <is>
          <t>8/2</t>
        </is>
      </c>
      <c r="C1119" s="3" t="inlineStr">
        <is>
          <t>日</t>
        </is>
      </c>
      <c r="D1119" s="3" t="inlineStr">
        <is>
          <t>07:55 15:01</t>
        </is>
      </c>
      <c r="E1119" s="4" t="n">
        <v>0.3298611111111111</v>
      </c>
      <c r="F1119" s="4" t="n">
        <v>0.6256944444444444</v>
      </c>
      <c r="G1119" s="3">
        <f>IF($E1119="","空卡",IF($F1119="","单卡","正常"))</f>
        <v/>
      </c>
      <c r="H1119" s="5">
        <f>IF($G1119="正常",ROUND(($F1119-$E1119)*1440,0),"")</f>
        <v/>
      </c>
      <c r="I1119" s="6">
        <f>IF($G1119="正常",$H1119/60,"")</f>
        <v/>
      </c>
      <c r="J1119" s="7">
        <f>IF($G1119="正常",ROUND($H1119/30,0)/2,"")</f>
        <v/>
      </c>
      <c r="K1119" s="7">
        <f>IF($G1119="正常",MIN($J1119,12),"")</f>
        <v/>
      </c>
      <c r="L1119" s="7">
        <f>IF($G1119="正常",MAX($J1119-12,0),"")</f>
        <v/>
      </c>
    </row>
    <row r="1120">
      <c r="A1120" s="3" t="inlineStr">
        <is>
          <t>王召会</t>
        </is>
      </c>
      <c r="B1120" s="3" t="inlineStr">
        <is>
          <t>8/3</t>
        </is>
      </c>
      <c r="C1120" s="3" t="inlineStr">
        <is>
          <t>一</t>
        </is>
      </c>
      <c r="D1120" s="3" t="inlineStr">
        <is>
          <t>08:28 15:39</t>
        </is>
      </c>
      <c r="E1120" s="4" t="n">
        <v>0.3527777777777778</v>
      </c>
      <c r="F1120" s="4" t="n">
        <v>0.6520833333333333</v>
      </c>
      <c r="G1120" s="3">
        <f>IF($E1120="","空卡",IF($F1120="","单卡","正常"))</f>
        <v/>
      </c>
      <c r="H1120" s="5">
        <f>IF($G1120="正常",ROUND(($F1120-$E1120)*1440,0),"")</f>
        <v/>
      </c>
      <c r="I1120" s="6">
        <f>IF($G1120="正常",$H1120/60,"")</f>
        <v/>
      </c>
      <c r="J1120" s="7">
        <f>IF($G1120="正常",ROUND($H1120/30,0)/2,"")</f>
        <v/>
      </c>
      <c r="K1120" s="7">
        <f>IF($G1120="正常",MIN($J1120,12),"")</f>
        <v/>
      </c>
      <c r="L1120" s="7">
        <f>IF($G1120="正常",MAX($J1120-12,0),"")</f>
        <v/>
      </c>
    </row>
    <row r="1121">
      <c r="A1121" s="3" t="inlineStr">
        <is>
          <t>王召会</t>
        </is>
      </c>
      <c r="B1121" s="3" t="inlineStr">
        <is>
          <t>8/4</t>
        </is>
      </c>
      <c r="C1121" s="3" t="inlineStr">
        <is>
          <t>二</t>
        </is>
      </c>
      <c r="D1121" s="3" t="inlineStr">
        <is>
          <t>08:51 16:34</t>
        </is>
      </c>
      <c r="E1121" s="4" t="n">
        <v>0.36875</v>
      </c>
      <c r="F1121" s="4" t="n">
        <v>0.6902777777777778</v>
      </c>
      <c r="G1121" s="3">
        <f>IF($E1121="","空卡",IF($F1121="","单卡","正常"))</f>
        <v/>
      </c>
      <c r="H1121" s="5">
        <f>IF($G1121="正常",ROUND(($F1121-$E1121)*1440,0),"")</f>
        <v/>
      </c>
      <c r="I1121" s="6">
        <f>IF($G1121="正常",$H1121/60,"")</f>
        <v/>
      </c>
      <c r="J1121" s="7">
        <f>IF($G1121="正常",ROUND($H1121/30,0)/2,"")</f>
        <v/>
      </c>
      <c r="K1121" s="7">
        <f>IF($G1121="正常",MIN($J1121,12),"")</f>
        <v/>
      </c>
      <c r="L1121" s="7">
        <f>IF($G1121="正常",MAX($J1121-12,0),"")</f>
        <v/>
      </c>
    </row>
    <row r="1122">
      <c r="A1122" s="8" t="inlineStr">
        <is>
          <t>王召会</t>
        </is>
      </c>
      <c r="B1122" s="8" t="inlineStr">
        <is>
          <t>8/5</t>
        </is>
      </c>
      <c r="C1122" s="8" t="inlineStr">
        <is>
          <t>三</t>
        </is>
      </c>
      <c r="D1122" s="8" t="inlineStr"/>
      <c r="E1122" s="9" t="n"/>
      <c r="F1122" s="9" t="n"/>
      <c r="G1122" s="10">
        <f>IF($E1122="","空卡",IF($F1122="","单卡","正常"))</f>
        <v/>
      </c>
      <c r="H1122" s="11">
        <f>IF($G1122="正常",ROUND(($F1122-$E1122)*1440,0),"")</f>
        <v/>
      </c>
      <c r="I1122" s="12">
        <f>IF($G1122="正常",$H1122/60,"")</f>
        <v/>
      </c>
      <c r="J1122" s="13">
        <f>IF($G1122="正常",ROUND($H1122/30,0)/2,"")</f>
        <v/>
      </c>
      <c r="K1122" s="13">
        <f>IF($G1122="正常",MIN($J1122,12),"")</f>
        <v/>
      </c>
      <c r="L1122" s="13">
        <f>IF($G1122="正常",MAX($J1122-12,0),"")</f>
        <v/>
      </c>
    </row>
    <row r="1123">
      <c r="A1123" s="8" t="inlineStr">
        <is>
          <t>王召会</t>
        </is>
      </c>
      <c r="B1123" s="8" t="inlineStr">
        <is>
          <t>8/6</t>
        </is>
      </c>
      <c r="C1123" s="8" t="inlineStr">
        <is>
          <t>四</t>
        </is>
      </c>
      <c r="D1123" s="8" t="inlineStr"/>
      <c r="E1123" s="9" t="n"/>
      <c r="F1123" s="9" t="n"/>
      <c r="G1123" s="10">
        <f>IF($E1123="","空卡",IF($F1123="","单卡","正常"))</f>
        <v/>
      </c>
      <c r="H1123" s="11">
        <f>IF($G1123="正常",ROUND(($F1123-$E1123)*1440,0),"")</f>
        <v/>
      </c>
      <c r="I1123" s="12">
        <f>IF($G1123="正常",$H1123/60,"")</f>
        <v/>
      </c>
      <c r="J1123" s="13">
        <f>IF($G1123="正常",ROUND($H1123/30,0)/2,"")</f>
        <v/>
      </c>
      <c r="K1123" s="13">
        <f>IF($G1123="正常",MIN($J1123,12),"")</f>
        <v/>
      </c>
      <c r="L1123" s="13">
        <f>IF($G1123="正常",MAX($J1123-12,0),"")</f>
        <v/>
      </c>
    </row>
    <row r="1124">
      <c r="A1124" s="8" t="inlineStr">
        <is>
          <t>王召会</t>
        </is>
      </c>
      <c r="B1124" s="8" t="inlineStr">
        <is>
          <t>8/7</t>
        </is>
      </c>
      <c r="C1124" s="8" t="inlineStr">
        <is>
          <t>五</t>
        </is>
      </c>
      <c r="D1124" s="8" t="inlineStr"/>
      <c r="E1124" s="9" t="n"/>
      <c r="F1124" s="9" t="n"/>
      <c r="G1124" s="10">
        <f>IF($E1124="","空卡",IF($F1124="","单卡","正常"))</f>
        <v/>
      </c>
      <c r="H1124" s="11">
        <f>IF($G1124="正常",ROUND(($F1124-$E1124)*1440,0),"")</f>
        <v/>
      </c>
      <c r="I1124" s="12">
        <f>IF($G1124="正常",$H1124/60,"")</f>
        <v/>
      </c>
      <c r="J1124" s="13">
        <f>IF($G1124="正常",ROUND($H1124/30,0)/2,"")</f>
        <v/>
      </c>
      <c r="K1124" s="13">
        <f>IF($G1124="正常",MIN($J1124,12),"")</f>
        <v/>
      </c>
      <c r="L1124" s="13">
        <f>IF($G1124="正常",MAX($J1124-12,0),"")</f>
        <v/>
      </c>
    </row>
    <row r="1125">
      <c r="A1125" s="8" t="inlineStr">
        <is>
          <t>王召会</t>
        </is>
      </c>
      <c r="B1125" s="8" t="inlineStr">
        <is>
          <t>8/8</t>
        </is>
      </c>
      <c r="C1125" s="8" t="inlineStr">
        <is>
          <t>六</t>
        </is>
      </c>
      <c r="D1125" s="8" t="inlineStr"/>
      <c r="E1125" s="9" t="n"/>
      <c r="F1125" s="9" t="n"/>
      <c r="G1125" s="10">
        <f>IF($E1125="","空卡",IF($F1125="","单卡","正常"))</f>
        <v/>
      </c>
      <c r="H1125" s="11">
        <f>IF($G1125="正常",ROUND(($F1125-$E1125)*1440,0),"")</f>
        <v/>
      </c>
      <c r="I1125" s="12">
        <f>IF($G1125="正常",$H1125/60,"")</f>
        <v/>
      </c>
      <c r="J1125" s="13">
        <f>IF($G1125="正常",ROUND($H1125/30,0)/2,"")</f>
        <v/>
      </c>
      <c r="K1125" s="13">
        <f>IF($G1125="正常",MIN($J1125,12),"")</f>
        <v/>
      </c>
      <c r="L1125" s="13">
        <f>IF($G1125="正常",MAX($J1125-12,0),"")</f>
        <v/>
      </c>
    </row>
    <row r="1126">
      <c r="A1126" s="8" t="inlineStr">
        <is>
          <t>王召会</t>
        </is>
      </c>
      <c r="B1126" s="8" t="inlineStr">
        <is>
          <t>8/9</t>
        </is>
      </c>
      <c r="C1126" s="8" t="inlineStr">
        <is>
          <t>日</t>
        </is>
      </c>
      <c r="D1126" s="8" t="inlineStr"/>
      <c r="E1126" s="9" t="n"/>
      <c r="F1126" s="9" t="n"/>
      <c r="G1126" s="10">
        <f>IF($E1126="","空卡",IF($F1126="","单卡","正常"))</f>
        <v/>
      </c>
      <c r="H1126" s="11">
        <f>IF($G1126="正常",ROUND(($F1126-$E1126)*1440,0),"")</f>
        <v/>
      </c>
      <c r="I1126" s="12">
        <f>IF($G1126="正常",$H1126/60,"")</f>
        <v/>
      </c>
      <c r="J1126" s="13">
        <f>IF($G1126="正常",ROUND($H1126/30,0)/2,"")</f>
        <v/>
      </c>
      <c r="K1126" s="13">
        <f>IF($G1126="正常",MIN($J1126,12),"")</f>
        <v/>
      </c>
      <c r="L1126" s="13">
        <f>IF($G1126="正常",MAX($J1126-12,0),"")</f>
        <v/>
      </c>
    </row>
    <row r="1127">
      <c r="A1127" s="8" t="inlineStr">
        <is>
          <t>王召会</t>
        </is>
      </c>
      <c r="B1127" s="8" t="inlineStr">
        <is>
          <t>8/10</t>
        </is>
      </c>
      <c r="C1127" s="8" t="inlineStr">
        <is>
          <t>一</t>
        </is>
      </c>
      <c r="D1127" s="8" t="inlineStr"/>
      <c r="E1127" s="9" t="n"/>
      <c r="F1127" s="9" t="n"/>
      <c r="G1127" s="10">
        <f>IF($E1127="","空卡",IF($F1127="","单卡","正常"))</f>
        <v/>
      </c>
      <c r="H1127" s="11">
        <f>IF($G1127="正常",ROUND(($F1127-$E1127)*1440,0),"")</f>
        <v/>
      </c>
      <c r="I1127" s="12">
        <f>IF($G1127="正常",$H1127/60,"")</f>
        <v/>
      </c>
      <c r="J1127" s="13">
        <f>IF($G1127="正常",ROUND($H1127/30,0)/2,"")</f>
        <v/>
      </c>
      <c r="K1127" s="13">
        <f>IF($G1127="正常",MIN($J1127,12),"")</f>
        <v/>
      </c>
      <c r="L1127" s="13">
        <f>IF($G1127="正常",MAX($J1127-12,0),"")</f>
        <v/>
      </c>
    </row>
    <row r="1128">
      <c r="A1128" s="8" t="inlineStr">
        <is>
          <t>王召会</t>
        </is>
      </c>
      <c r="B1128" s="8" t="inlineStr">
        <is>
          <t>8/11</t>
        </is>
      </c>
      <c r="C1128" s="8" t="inlineStr">
        <is>
          <t>二</t>
        </is>
      </c>
      <c r="D1128" s="8" t="inlineStr"/>
      <c r="E1128" s="9" t="n"/>
      <c r="F1128" s="9" t="n"/>
      <c r="G1128" s="10">
        <f>IF($E1128="","空卡",IF($F1128="","单卡","正常"))</f>
        <v/>
      </c>
      <c r="H1128" s="11">
        <f>IF($G1128="正常",ROUND(($F1128-$E1128)*1440,0),"")</f>
        <v/>
      </c>
      <c r="I1128" s="12">
        <f>IF($G1128="正常",$H1128/60,"")</f>
        <v/>
      </c>
      <c r="J1128" s="13">
        <f>IF($G1128="正常",ROUND($H1128/30,0)/2,"")</f>
        <v/>
      </c>
      <c r="K1128" s="13">
        <f>IF($G1128="正常",MIN($J1128,12),"")</f>
        <v/>
      </c>
      <c r="L1128" s="13">
        <f>IF($G1128="正常",MAX($J1128-12,0),"")</f>
        <v/>
      </c>
    </row>
    <row r="1129">
      <c r="A1129" s="8" t="inlineStr">
        <is>
          <t>王召会</t>
        </is>
      </c>
      <c r="B1129" s="8" t="inlineStr">
        <is>
          <t>8/12</t>
        </is>
      </c>
      <c r="C1129" s="8" t="inlineStr">
        <is>
          <t>三</t>
        </is>
      </c>
      <c r="D1129" s="8" t="inlineStr"/>
      <c r="E1129" s="9" t="n"/>
      <c r="F1129" s="9" t="n"/>
      <c r="G1129" s="10">
        <f>IF($E1129="","空卡",IF($F1129="","单卡","正常"))</f>
        <v/>
      </c>
      <c r="H1129" s="11">
        <f>IF($G1129="正常",ROUND(($F1129-$E1129)*1440,0),"")</f>
        <v/>
      </c>
      <c r="I1129" s="12">
        <f>IF($G1129="正常",$H1129/60,"")</f>
        <v/>
      </c>
      <c r="J1129" s="13">
        <f>IF($G1129="正常",ROUND($H1129/30,0)/2,"")</f>
        <v/>
      </c>
      <c r="K1129" s="13">
        <f>IF($G1129="正常",MIN($J1129,12),"")</f>
        <v/>
      </c>
      <c r="L1129" s="13">
        <f>IF($G1129="正常",MAX($J1129-12,0),"")</f>
        <v/>
      </c>
    </row>
    <row r="1130">
      <c r="A1130" s="8" t="inlineStr">
        <is>
          <t>王召会</t>
        </is>
      </c>
      <c r="B1130" s="8" t="inlineStr">
        <is>
          <t>8/13</t>
        </is>
      </c>
      <c r="C1130" s="8" t="inlineStr">
        <is>
          <t>四</t>
        </is>
      </c>
      <c r="D1130" s="8" t="inlineStr"/>
      <c r="E1130" s="9" t="n"/>
      <c r="F1130" s="9" t="n"/>
      <c r="G1130" s="10">
        <f>IF($E1130="","空卡",IF($F1130="","单卡","正常"))</f>
        <v/>
      </c>
      <c r="H1130" s="11">
        <f>IF($G1130="正常",ROUND(($F1130-$E1130)*1440,0),"")</f>
        <v/>
      </c>
      <c r="I1130" s="12">
        <f>IF($G1130="正常",$H1130/60,"")</f>
        <v/>
      </c>
      <c r="J1130" s="13">
        <f>IF($G1130="正常",ROUND($H1130/30,0)/2,"")</f>
        <v/>
      </c>
      <c r="K1130" s="13">
        <f>IF($G1130="正常",MIN($J1130,12),"")</f>
        <v/>
      </c>
      <c r="L1130" s="13">
        <f>IF($G1130="正常",MAX($J1130-12,0),"")</f>
        <v/>
      </c>
    </row>
    <row r="1131">
      <c r="A1131" s="8" t="inlineStr">
        <is>
          <t>王召会</t>
        </is>
      </c>
      <c r="B1131" s="8" t="inlineStr">
        <is>
          <t>8/14</t>
        </is>
      </c>
      <c r="C1131" s="8" t="inlineStr">
        <is>
          <t>五</t>
        </is>
      </c>
      <c r="D1131" s="8" t="inlineStr"/>
      <c r="E1131" s="9" t="n"/>
      <c r="F1131" s="9" t="n"/>
      <c r="G1131" s="10">
        <f>IF($E1131="","空卡",IF($F1131="","单卡","正常"))</f>
        <v/>
      </c>
      <c r="H1131" s="11">
        <f>IF($G1131="正常",ROUND(($F1131-$E1131)*1440,0),"")</f>
        <v/>
      </c>
      <c r="I1131" s="12">
        <f>IF($G1131="正常",$H1131/60,"")</f>
        <v/>
      </c>
      <c r="J1131" s="13">
        <f>IF($G1131="正常",ROUND($H1131/30,0)/2,"")</f>
        <v/>
      </c>
      <c r="K1131" s="13">
        <f>IF($G1131="正常",MIN($J1131,12),"")</f>
        <v/>
      </c>
      <c r="L1131" s="13">
        <f>IF($G1131="正常",MAX($J1131-12,0),"")</f>
        <v/>
      </c>
    </row>
    <row r="1132">
      <c r="A1132" s="8" t="inlineStr">
        <is>
          <t>王召会</t>
        </is>
      </c>
      <c r="B1132" s="8" t="inlineStr">
        <is>
          <t>8/15</t>
        </is>
      </c>
      <c r="C1132" s="8" t="inlineStr">
        <is>
          <t>六</t>
        </is>
      </c>
      <c r="D1132" s="8" t="inlineStr"/>
      <c r="E1132" s="9" t="n"/>
      <c r="F1132" s="9" t="n"/>
      <c r="G1132" s="10">
        <f>IF($E1132="","空卡",IF($F1132="","单卡","正常"))</f>
        <v/>
      </c>
      <c r="H1132" s="11">
        <f>IF($G1132="正常",ROUND(($F1132-$E1132)*1440,0),"")</f>
        <v/>
      </c>
      <c r="I1132" s="12">
        <f>IF($G1132="正常",$H1132/60,"")</f>
        <v/>
      </c>
      <c r="J1132" s="13">
        <f>IF($G1132="正常",ROUND($H1132/30,0)/2,"")</f>
        <v/>
      </c>
      <c r="K1132" s="13">
        <f>IF($G1132="正常",MIN($J1132,12),"")</f>
        <v/>
      </c>
      <c r="L1132" s="13">
        <f>IF($G1132="正常",MAX($J1132-12,0),"")</f>
        <v/>
      </c>
    </row>
    <row r="1133">
      <c r="A1133" s="8" t="inlineStr">
        <is>
          <t>王召会</t>
        </is>
      </c>
      <c r="B1133" s="8" t="inlineStr">
        <is>
          <t>8/16</t>
        </is>
      </c>
      <c r="C1133" s="8" t="inlineStr">
        <is>
          <t>日</t>
        </is>
      </c>
      <c r="D1133" s="8" t="inlineStr"/>
      <c r="E1133" s="9" t="n"/>
      <c r="F1133" s="9" t="n"/>
      <c r="G1133" s="10">
        <f>IF($E1133="","空卡",IF($F1133="","单卡","正常"))</f>
        <v/>
      </c>
      <c r="H1133" s="11">
        <f>IF($G1133="正常",ROUND(($F1133-$E1133)*1440,0),"")</f>
        <v/>
      </c>
      <c r="I1133" s="12">
        <f>IF($G1133="正常",$H1133/60,"")</f>
        <v/>
      </c>
      <c r="J1133" s="13">
        <f>IF($G1133="正常",ROUND($H1133/30,0)/2,"")</f>
        <v/>
      </c>
      <c r="K1133" s="13">
        <f>IF($G1133="正常",MIN($J1133,12),"")</f>
        <v/>
      </c>
      <c r="L1133" s="13">
        <f>IF($G1133="正常",MAX($J1133-12,0),"")</f>
        <v/>
      </c>
    </row>
    <row r="1134">
      <c r="A1134" s="3" t="inlineStr">
        <is>
          <t>王召会</t>
        </is>
      </c>
      <c r="B1134" s="3" t="inlineStr">
        <is>
          <t>8/17</t>
        </is>
      </c>
      <c r="C1134" s="3" t="inlineStr">
        <is>
          <t>一</t>
        </is>
      </c>
      <c r="D1134" s="3" t="inlineStr">
        <is>
          <t>07:56 20:00</t>
        </is>
      </c>
      <c r="E1134" s="4" t="n">
        <v>0.3305555555555555</v>
      </c>
      <c r="F1134" s="4" t="n">
        <v>0.8333333333333334</v>
      </c>
      <c r="G1134" s="3">
        <f>IF($E1134="","空卡",IF($F1134="","单卡","正常"))</f>
        <v/>
      </c>
      <c r="H1134" s="5">
        <f>IF($G1134="正常",ROUND(($F1134-$E1134)*1440,0),"")</f>
        <v/>
      </c>
      <c r="I1134" s="6">
        <f>IF($G1134="正常",$H1134/60,"")</f>
        <v/>
      </c>
      <c r="J1134" s="7">
        <f>IF($G1134="正常",ROUND($H1134/30,0)/2,"")</f>
        <v/>
      </c>
      <c r="K1134" s="7">
        <f>IF($G1134="正常",MIN($J1134,12),"")</f>
        <v/>
      </c>
      <c r="L1134" s="7">
        <f>IF($G1134="正常",MAX($J1134-12,0),"")</f>
        <v/>
      </c>
    </row>
    <row r="1135">
      <c r="A1135" s="3" t="inlineStr">
        <is>
          <t>王召会</t>
        </is>
      </c>
      <c r="B1135" s="3" t="inlineStr">
        <is>
          <t>8/18</t>
        </is>
      </c>
      <c r="C1135" s="3" t="inlineStr">
        <is>
          <t>二</t>
        </is>
      </c>
      <c r="D1135" s="3" t="inlineStr">
        <is>
          <t>07:51 10:03</t>
        </is>
      </c>
      <c r="E1135" s="4" t="n">
        <v>0.3270833333333333</v>
      </c>
      <c r="F1135" s="4" t="n">
        <v>0.41875</v>
      </c>
      <c r="G1135" s="3">
        <f>IF($E1135="","空卡",IF($F1135="","单卡","正常"))</f>
        <v/>
      </c>
      <c r="H1135" s="5">
        <f>IF($G1135="正常",ROUND(($F1135-$E1135)*1440,0),"")</f>
        <v/>
      </c>
      <c r="I1135" s="6">
        <f>IF($G1135="正常",$H1135/60,"")</f>
        <v/>
      </c>
      <c r="J1135" s="7">
        <f>IF($G1135="正常",ROUND($H1135/30,0)/2,"")</f>
        <v/>
      </c>
      <c r="K1135" s="7">
        <f>IF($G1135="正常",MIN($J1135,12),"")</f>
        <v/>
      </c>
      <c r="L1135" s="7">
        <f>IF($G1135="正常",MAX($J1135-12,0),"")</f>
        <v/>
      </c>
    </row>
    <row r="1136">
      <c r="A1136" s="8" t="inlineStr">
        <is>
          <t>王召会</t>
        </is>
      </c>
      <c r="B1136" s="8" t="inlineStr">
        <is>
          <t>8/19</t>
        </is>
      </c>
      <c r="C1136" s="8" t="inlineStr">
        <is>
          <t>三</t>
        </is>
      </c>
      <c r="D1136" s="8" t="inlineStr"/>
      <c r="E1136" s="9" t="n"/>
      <c r="F1136" s="9" t="n"/>
      <c r="G1136" s="10">
        <f>IF($E1136="","空卡",IF($F1136="","单卡","正常"))</f>
        <v/>
      </c>
      <c r="H1136" s="11">
        <f>IF($G1136="正常",ROUND(($F1136-$E1136)*1440,0),"")</f>
        <v/>
      </c>
      <c r="I1136" s="12">
        <f>IF($G1136="正常",$H1136/60,"")</f>
        <v/>
      </c>
      <c r="J1136" s="13">
        <f>IF($G1136="正常",ROUND($H1136/30,0)/2,"")</f>
        <v/>
      </c>
      <c r="K1136" s="13">
        <f>IF($G1136="正常",MIN($J1136,12),"")</f>
        <v/>
      </c>
      <c r="L1136" s="13">
        <f>IF($G1136="正常",MAX($J1136-12,0),"")</f>
        <v/>
      </c>
    </row>
    <row r="1137">
      <c r="A1137" s="8" t="inlineStr">
        <is>
          <t>王召会</t>
        </is>
      </c>
      <c r="B1137" s="8" t="inlineStr">
        <is>
          <t>8/20</t>
        </is>
      </c>
      <c r="C1137" s="8" t="inlineStr">
        <is>
          <t>四</t>
        </is>
      </c>
      <c r="D1137" s="8" t="inlineStr"/>
      <c r="E1137" s="9" t="n"/>
      <c r="F1137" s="9" t="n"/>
      <c r="G1137" s="10">
        <f>IF($E1137="","空卡",IF($F1137="","单卡","正常"))</f>
        <v/>
      </c>
      <c r="H1137" s="11">
        <f>IF($G1137="正常",ROUND(($F1137-$E1137)*1440,0),"")</f>
        <v/>
      </c>
      <c r="I1137" s="12">
        <f>IF($G1137="正常",$H1137/60,"")</f>
        <v/>
      </c>
      <c r="J1137" s="13">
        <f>IF($G1137="正常",ROUND($H1137/30,0)/2,"")</f>
        <v/>
      </c>
      <c r="K1137" s="13">
        <f>IF($G1137="正常",MIN($J1137,12),"")</f>
        <v/>
      </c>
      <c r="L1137" s="13">
        <f>IF($G1137="正常",MAX($J1137-12,0),"")</f>
        <v/>
      </c>
    </row>
    <row r="1138">
      <c r="A1138" s="8" t="inlineStr">
        <is>
          <t>王召会</t>
        </is>
      </c>
      <c r="B1138" s="8" t="inlineStr">
        <is>
          <t>8/21</t>
        </is>
      </c>
      <c r="C1138" s="8" t="inlineStr">
        <is>
          <t>五</t>
        </is>
      </c>
      <c r="D1138" s="8" t="inlineStr"/>
      <c r="E1138" s="9" t="n"/>
      <c r="F1138" s="9" t="n"/>
      <c r="G1138" s="10">
        <f>IF($E1138="","空卡",IF($F1138="","单卡","正常"))</f>
        <v/>
      </c>
      <c r="H1138" s="11">
        <f>IF($G1138="正常",ROUND(($F1138-$E1138)*1440,0),"")</f>
        <v/>
      </c>
      <c r="I1138" s="12">
        <f>IF($G1138="正常",$H1138/60,"")</f>
        <v/>
      </c>
      <c r="J1138" s="13">
        <f>IF($G1138="正常",ROUND($H1138/30,0)/2,"")</f>
        <v/>
      </c>
      <c r="K1138" s="13">
        <f>IF($G1138="正常",MIN($J1138,12),"")</f>
        <v/>
      </c>
      <c r="L1138" s="13">
        <f>IF($G1138="正常",MAX($J1138-12,0),"")</f>
        <v/>
      </c>
    </row>
    <row r="1139">
      <c r="A1139" s="8" t="inlineStr">
        <is>
          <t>王召会</t>
        </is>
      </c>
      <c r="B1139" s="8" t="inlineStr">
        <is>
          <t>8/22</t>
        </is>
      </c>
      <c r="C1139" s="8" t="inlineStr">
        <is>
          <t>六</t>
        </is>
      </c>
      <c r="D1139" s="8" t="inlineStr"/>
      <c r="E1139" s="9" t="n"/>
      <c r="F1139" s="9" t="n"/>
      <c r="G1139" s="10">
        <f>IF($E1139="","空卡",IF($F1139="","单卡","正常"))</f>
        <v/>
      </c>
      <c r="H1139" s="11">
        <f>IF($G1139="正常",ROUND(($F1139-$E1139)*1440,0),"")</f>
        <v/>
      </c>
      <c r="I1139" s="12">
        <f>IF($G1139="正常",$H1139/60,"")</f>
        <v/>
      </c>
      <c r="J1139" s="13">
        <f>IF($G1139="正常",ROUND($H1139/30,0)/2,"")</f>
        <v/>
      </c>
      <c r="K1139" s="13">
        <f>IF($G1139="正常",MIN($J1139,12),"")</f>
        <v/>
      </c>
      <c r="L1139" s="13">
        <f>IF($G1139="正常",MAX($J1139-12,0),"")</f>
        <v/>
      </c>
    </row>
    <row r="1140">
      <c r="A1140" s="8" t="inlineStr">
        <is>
          <t>王召会</t>
        </is>
      </c>
      <c r="B1140" s="8" t="inlineStr">
        <is>
          <t>8/23</t>
        </is>
      </c>
      <c r="C1140" s="8" t="inlineStr">
        <is>
          <t>日</t>
        </is>
      </c>
      <c r="D1140" s="8" t="inlineStr"/>
      <c r="E1140" s="9" t="n"/>
      <c r="F1140" s="9" t="n"/>
      <c r="G1140" s="10">
        <f>IF($E1140="","空卡",IF($F1140="","单卡","正常"))</f>
        <v/>
      </c>
      <c r="H1140" s="11">
        <f>IF($G1140="正常",ROUND(($F1140-$E1140)*1440,0),"")</f>
        <v/>
      </c>
      <c r="I1140" s="12">
        <f>IF($G1140="正常",$H1140/60,"")</f>
        <v/>
      </c>
      <c r="J1140" s="13">
        <f>IF($G1140="正常",ROUND($H1140/30,0)/2,"")</f>
        <v/>
      </c>
      <c r="K1140" s="13">
        <f>IF($G1140="正常",MIN($J1140,12),"")</f>
        <v/>
      </c>
      <c r="L1140" s="13">
        <f>IF($G1140="正常",MAX($J1140-12,0),"")</f>
        <v/>
      </c>
    </row>
    <row r="1141">
      <c r="A1141" s="3" t="inlineStr">
        <is>
          <t>王召会</t>
        </is>
      </c>
      <c r="B1141" s="3" t="inlineStr">
        <is>
          <t>8/24</t>
        </is>
      </c>
      <c r="C1141" s="3" t="inlineStr">
        <is>
          <t>一</t>
        </is>
      </c>
      <c r="D1141" s="3" t="inlineStr">
        <is>
          <t>06:56 16:43</t>
        </is>
      </c>
      <c r="E1141" s="4" t="n">
        <v>0.2888888888888889</v>
      </c>
      <c r="F1141" s="4" t="n">
        <v>0.6965277777777777</v>
      </c>
      <c r="G1141" s="3">
        <f>IF($E1141="","空卡",IF($F1141="","单卡","正常"))</f>
        <v/>
      </c>
      <c r="H1141" s="5">
        <f>IF($G1141="正常",ROUND(($F1141-$E1141)*1440,0),"")</f>
        <v/>
      </c>
      <c r="I1141" s="6">
        <f>IF($G1141="正常",$H1141/60,"")</f>
        <v/>
      </c>
      <c r="J1141" s="7">
        <f>IF($G1141="正常",ROUND($H1141/30,0)/2,"")</f>
        <v/>
      </c>
      <c r="K1141" s="7">
        <f>IF($G1141="正常",MIN($J1141,12),"")</f>
        <v/>
      </c>
      <c r="L1141" s="7">
        <f>IF($G1141="正常",MAX($J1141-12,0),"")</f>
        <v/>
      </c>
    </row>
    <row r="1142">
      <c r="A1142" s="3" t="inlineStr">
        <is>
          <t>王召会</t>
        </is>
      </c>
      <c r="B1142" s="3" t="inlineStr">
        <is>
          <t>8/25</t>
        </is>
      </c>
      <c r="C1142" s="3" t="inlineStr">
        <is>
          <t>二</t>
        </is>
      </c>
      <c r="D1142" s="3" t="inlineStr">
        <is>
          <t>08:40 18:39</t>
        </is>
      </c>
      <c r="E1142" s="4" t="n">
        <v>0.3611111111111111</v>
      </c>
      <c r="F1142" s="4" t="n">
        <v>0.7770833333333333</v>
      </c>
      <c r="G1142" s="3">
        <f>IF($E1142="","空卡",IF($F1142="","单卡","正常"))</f>
        <v/>
      </c>
      <c r="H1142" s="5">
        <f>IF($G1142="正常",ROUND(($F1142-$E1142)*1440,0),"")</f>
        <v/>
      </c>
      <c r="I1142" s="6">
        <f>IF($G1142="正常",$H1142/60,"")</f>
        <v/>
      </c>
      <c r="J1142" s="7">
        <f>IF($G1142="正常",ROUND($H1142/30,0)/2,"")</f>
        <v/>
      </c>
      <c r="K1142" s="7">
        <f>IF($G1142="正常",MIN($J1142,12),"")</f>
        <v/>
      </c>
      <c r="L1142" s="7">
        <f>IF($G1142="正常",MAX($J1142-12,0),"")</f>
        <v/>
      </c>
    </row>
    <row r="1143">
      <c r="A1143" s="3" t="inlineStr">
        <is>
          <t>王召会</t>
        </is>
      </c>
      <c r="B1143" s="3" t="inlineStr">
        <is>
          <t>8/26</t>
        </is>
      </c>
      <c r="C1143" s="3" t="inlineStr">
        <is>
          <t>三</t>
        </is>
      </c>
      <c r="D1143" s="3" t="inlineStr">
        <is>
          <t>07:54 19:01</t>
        </is>
      </c>
      <c r="E1143" s="4" t="n">
        <v>0.3291666666666667</v>
      </c>
      <c r="F1143" s="4" t="n">
        <v>0.7923611111111111</v>
      </c>
      <c r="G1143" s="3">
        <f>IF($E1143="","空卡",IF($F1143="","单卡","正常"))</f>
        <v/>
      </c>
      <c r="H1143" s="5">
        <f>IF($G1143="正常",ROUND(($F1143-$E1143)*1440,0),"")</f>
        <v/>
      </c>
      <c r="I1143" s="6">
        <f>IF($G1143="正常",$H1143/60,"")</f>
        <v/>
      </c>
      <c r="J1143" s="7">
        <f>IF($G1143="正常",ROUND($H1143/30,0)/2,"")</f>
        <v/>
      </c>
      <c r="K1143" s="7">
        <f>IF($G1143="正常",MIN($J1143,12),"")</f>
        <v/>
      </c>
      <c r="L1143" s="7">
        <f>IF($G1143="正常",MAX($J1143-12,0),"")</f>
        <v/>
      </c>
    </row>
    <row r="1144">
      <c r="A1144" s="3" t="inlineStr">
        <is>
          <t>王召会</t>
        </is>
      </c>
      <c r="B1144" s="3" t="inlineStr">
        <is>
          <t>8/27</t>
        </is>
      </c>
      <c r="C1144" s="3" t="inlineStr">
        <is>
          <t>四</t>
        </is>
      </c>
      <c r="D1144" s="3" t="inlineStr">
        <is>
          <t>07:57 19:08</t>
        </is>
      </c>
      <c r="E1144" s="4" t="n">
        <v>0.33125</v>
      </c>
      <c r="F1144" s="4" t="n">
        <v>0.7972222222222223</v>
      </c>
      <c r="G1144" s="3">
        <f>IF($E1144="","空卡",IF($F1144="","单卡","正常"))</f>
        <v/>
      </c>
      <c r="H1144" s="5">
        <f>IF($G1144="正常",ROUND(($F1144-$E1144)*1440,0),"")</f>
        <v/>
      </c>
      <c r="I1144" s="6">
        <f>IF($G1144="正常",$H1144/60,"")</f>
        <v/>
      </c>
      <c r="J1144" s="7">
        <f>IF($G1144="正常",ROUND($H1144/30,0)/2,"")</f>
        <v/>
      </c>
      <c r="K1144" s="7">
        <f>IF($G1144="正常",MIN($J1144,12),"")</f>
        <v/>
      </c>
      <c r="L1144" s="7">
        <f>IF($G1144="正常",MAX($J1144-12,0),"")</f>
        <v/>
      </c>
    </row>
    <row r="1145">
      <c r="A1145" s="3" t="inlineStr">
        <is>
          <t>王召会</t>
        </is>
      </c>
      <c r="B1145" s="3" t="inlineStr">
        <is>
          <t>8/28</t>
        </is>
      </c>
      <c r="C1145" s="3" t="inlineStr">
        <is>
          <t>五</t>
        </is>
      </c>
      <c r="D1145" s="3" t="inlineStr">
        <is>
          <t>07:57 18:30</t>
        </is>
      </c>
      <c r="E1145" s="4" t="n">
        <v>0.33125</v>
      </c>
      <c r="F1145" s="4" t="n">
        <v>0.7708333333333334</v>
      </c>
      <c r="G1145" s="3">
        <f>IF($E1145="","空卡",IF($F1145="","单卡","正常"))</f>
        <v/>
      </c>
      <c r="H1145" s="5">
        <f>IF($G1145="正常",ROUND(($F1145-$E1145)*1440,0),"")</f>
        <v/>
      </c>
      <c r="I1145" s="6">
        <f>IF($G1145="正常",$H1145/60,"")</f>
        <v/>
      </c>
      <c r="J1145" s="7">
        <f>IF($G1145="正常",ROUND($H1145/30,0)/2,"")</f>
        <v/>
      </c>
      <c r="K1145" s="7">
        <f>IF($G1145="正常",MIN($J1145,12),"")</f>
        <v/>
      </c>
      <c r="L1145" s="7">
        <f>IF($G1145="正常",MAX($J1145-12,0),"")</f>
        <v/>
      </c>
    </row>
    <row r="1146">
      <c r="A1146" s="3" t="inlineStr">
        <is>
          <t>王召会</t>
        </is>
      </c>
      <c r="B1146" s="3" t="inlineStr">
        <is>
          <t>8/29</t>
        </is>
      </c>
      <c r="C1146" s="3" t="inlineStr">
        <is>
          <t>六</t>
        </is>
      </c>
      <c r="D1146" s="3" t="inlineStr">
        <is>
          <t>07:56 21:59</t>
        </is>
      </c>
      <c r="E1146" s="4" t="n">
        <v>0.3305555555555555</v>
      </c>
      <c r="F1146" s="4" t="n">
        <v>0.9159722222222222</v>
      </c>
      <c r="G1146" s="3">
        <f>IF($E1146="","空卡",IF($F1146="","单卡","正常"))</f>
        <v/>
      </c>
      <c r="H1146" s="5">
        <f>IF($G1146="正常",ROUND(($F1146-$E1146)*1440,0),"")</f>
        <v/>
      </c>
      <c r="I1146" s="6">
        <f>IF($G1146="正常",$H1146/60,"")</f>
        <v/>
      </c>
      <c r="J1146" s="7">
        <f>IF($G1146="正常",ROUND($H1146/30,0)/2,"")</f>
        <v/>
      </c>
      <c r="K1146" s="7">
        <f>IF($G1146="正常",MIN($J1146,12),"")</f>
        <v/>
      </c>
      <c r="L1146" s="7">
        <f>IF($G1146="正常",MAX($J1146-12,0),"")</f>
        <v/>
      </c>
    </row>
    <row r="1147">
      <c r="A1147" s="3" t="inlineStr">
        <is>
          <t>王召会</t>
        </is>
      </c>
      <c r="B1147" s="3" t="inlineStr">
        <is>
          <t>8/30</t>
        </is>
      </c>
      <c r="C1147" s="3" t="inlineStr">
        <is>
          <t>日</t>
        </is>
      </c>
      <c r="D1147" s="3" t="inlineStr">
        <is>
          <t>07:56 21:24</t>
        </is>
      </c>
      <c r="E1147" s="4" t="n">
        <v>0.3305555555555555</v>
      </c>
      <c r="F1147" s="4" t="n">
        <v>0.8916666666666667</v>
      </c>
      <c r="G1147" s="3">
        <f>IF($E1147="","空卡",IF($F1147="","单卡","正常"))</f>
        <v/>
      </c>
      <c r="H1147" s="5">
        <f>IF($G1147="正常",ROUND(($F1147-$E1147)*1440,0),"")</f>
        <v/>
      </c>
      <c r="I1147" s="6">
        <f>IF($G1147="正常",$H1147/60,"")</f>
        <v/>
      </c>
      <c r="J1147" s="7">
        <f>IF($G1147="正常",ROUND($H1147/30,0)/2,"")</f>
        <v/>
      </c>
      <c r="K1147" s="7">
        <f>IF($G1147="正常",MIN($J1147,12),"")</f>
        <v/>
      </c>
      <c r="L1147" s="7">
        <f>IF($G1147="正常",MAX($J1147-12,0),"")</f>
        <v/>
      </c>
    </row>
    <row r="1148">
      <c r="A1148" s="8" t="inlineStr">
        <is>
          <t>王召会</t>
        </is>
      </c>
      <c r="B1148" s="8" t="inlineStr">
        <is>
          <t>8/31</t>
        </is>
      </c>
      <c r="C1148" s="8" t="inlineStr">
        <is>
          <t>一</t>
        </is>
      </c>
      <c r="D1148" s="8" t="inlineStr"/>
      <c r="E1148" s="9" t="n"/>
      <c r="F1148" s="9" t="n"/>
      <c r="G1148" s="10">
        <f>IF($E1148="","空卡",IF($F1148="","单卡","正常"))</f>
        <v/>
      </c>
      <c r="H1148" s="11">
        <f>IF($G1148="正常",ROUND(($F1148-$E1148)*1440,0),"")</f>
        <v/>
      </c>
      <c r="I1148" s="12">
        <f>IF($G1148="正常",$H1148/60,"")</f>
        <v/>
      </c>
      <c r="J1148" s="13">
        <f>IF($G1148="正常",ROUND($H1148/30,0)/2,"")</f>
        <v/>
      </c>
      <c r="K1148" s="13">
        <f>IF($G1148="正常",MIN($J1148,12),"")</f>
        <v/>
      </c>
      <c r="L1148" s="13">
        <f>IF($G1148="正常",MAX($J1148-12,0),"")</f>
        <v/>
      </c>
    </row>
    <row r="1149">
      <c r="A1149" s="3" t="inlineStr">
        <is>
          <t>岳安容</t>
        </is>
      </c>
      <c r="B1149" s="3" t="inlineStr">
        <is>
          <t>8/1</t>
        </is>
      </c>
      <c r="C1149" s="3" t="inlineStr">
        <is>
          <t>六</t>
        </is>
      </c>
      <c r="D1149" s="3" t="inlineStr">
        <is>
          <t>07:58 18:33</t>
        </is>
      </c>
      <c r="E1149" s="4" t="n">
        <v>0.3319444444444444</v>
      </c>
      <c r="F1149" s="4" t="n">
        <v>0.7729166666666667</v>
      </c>
      <c r="G1149" s="3">
        <f>IF($E1149="","空卡",IF($F1149="","单卡","正常"))</f>
        <v/>
      </c>
      <c r="H1149" s="5">
        <f>IF($G1149="正常",ROUND(($F1149-$E1149)*1440,0),"")</f>
        <v/>
      </c>
      <c r="I1149" s="6">
        <f>IF($G1149="正常",$H1149/60,"")</f>
        <v/>
      </c>
      <c r="J1149" s="7">
        <f>IF($G1149="正常",ROUND($H1149/30,0)/2,"")</f>
        <v/>
      </c>
      <c r="K1149" s="7">
        <f>IF($G1149="正常",MIN($J1149,12),"")</f>
        <v/>
      </c>
      <c r="L1149" s="7">
        <f>IF($G1149="正常",MAX($J1149-12,0),"")</f>
        <v/>
      </c>
    </row>
    <row r="1150">
      <c r="A1150" s="3" t="inlineStr">
        <is>
          <t>岳安容</t>
        </is>
      </c>
      <c r="B1150" s="3" t="inlineStr">
        <is>
          <t>8/2</t>
        </is>
      </c>
      <c r="C1150" s="3" t="inlineStr">
        <is>
          <t>日</t>
        </is>
      </c>
      <c r="D1150" s="3" t="inlineStr">
        <is>
          <t>07:56 14:57</t>
        </is>
      </c>
      <c r="E1150" s="4" t="n">
        <v>0.3305555555555555</v>
      </c>
      <c r="F1150" s="4" t="n">
        <v>0.6229166666666667</v>
      </c>
      <c r="G1150" s="3">
        <f>IF($E1150="","空卡",IF($F1150="","单卡","正常"))</f>
        <v/>
      </c>
      <c r="H1150" s="5">
        <f>IF($G1150="正常",ROUND(($F1150-$E1150)*1440,0),"")</f>
        <v/>
      </c>
      <c r="I1150" s="6">
        <f>IF($G1150="正常",$H1150/60,"")</f>
        <v/>
      </c>
      <c r="J1150" s="7">
        <f>IF($G1150="正常",ROUND($H1150/30,0)/2,"")</f>
        <v/>
      </c>
      <c r="K1150" s="7">
        <f>IF($G1150="正常",MIN($J1150,12),"")</f>
        <v/>
      </c>
      <c r="L1150" s="7">
        <f>IF($G1150="正常",MAX($J1150-12,0),"")</f>
        <v/>
      </c>
    </row>
    <row r="1151">
      <c r="A1151" s="3" t="inlineStr">
        <is>
          <t>岳安容</t>
        </is>
      </c>
      <c r="B1151" s="3" t="inlineStr">
        <is>
          <t>8/3</t>
        </is>
      </c>
      <c r="C1151" s="3" t="inlineStr">
        <is>
          <t>一</t>
        </is>
      </c>
      <c r="D1151" s="3" t="inlineStr">
        <is>
          <t>08:22 15:30</t>
        </is>
      </c>
      <c r="E1151" s="4" t="n">
        <v>0.3486111111111111</v>
      </c>
      <c r="F1151" s="4" t="n">
        <v>0.6458333333333334</v>
      </c>
      <c r="G1151" s="3">
        <f>IF($E1151="","空卡",IF($F1151="","单卡","正常"))</f>
        <v/>
      </c>
      <c r="H1151" s="5">
        <f>IF($G1151="正常",ROUND(($F1151-$E1151)*1440,0),"")</f>
        <v/>
      </c>
      <c r="I1151" s="6">
        <f>IF($G1151="正常",$H1151/60,"")</f>
        <v/>
      </c>
      <c r="J1151" s="7">
        <f>IF($G1151="正常",ROUND($H1151/30,0)/2,"")</f>
        <v/>
      </c>
      <c r="K1151" s="7">
        <f>IF($G1151="正常",MIN($J1151,12),"")</f>
        <v/>
      </c>
      <c r="L1151" s="7">
        <f>IF($G1151="正常",MAX($J1151-12,0),"")</f>
        <v/>
      </c>
    </row>
    <row r="1152">
      <c r="A1152" s="3" t="inlineStr">
        <is>
          <t>岳安容</t>
        </is>
      </c>
      <c r="B1152" s="3" t="inlineStr">
        <is>
          <t>8/4</t>
        </is>
      </c>
      <c r="C1152" s="3" t="inlineStr">
        <is>
          <t>二</t>
        </is>
      </c>
      <c r="D1152" s="3" t="inlineStr">
        <is>
          <t>09:00 19:31</t>
        </is>
      </c>
      <c r="E1152" s="4" t="n">
        <v>0.375</v>
      </c>
      <c r="F1152" s="4" t="n">
        <v>0.8131944444444444</v>
      </c>
      <c r="G1152" s="3">
        <f>IF($E1152="","空卡",IF($F1152="","单卡","正常"))</f>
        <v/>
      </c>
      <c r="H1152" s="5">
        <f>IF($G1152="正常",ROUND(($F1152-$E1152)*1440,0),"")</f>
        <v/>
      </c>
      <c r="I1152" s="6">
        <f>IF($G1152="正常",$H1152/60,"")</f>
        <v/>
      </c>
      <c r="J1152" s="7">
        <f>IF($G1152="正常",ROUND($H1152/30,0)/2,"")</f>
        <v/>
      </c>
      <c r="K1152" s="7">
        <f>IF($G1152="正常",MIN($J1152,12),"")</f>
        <v/>
      </c>
      <c r="L1152" s="7">
        <f>IF($G1152="正常",MAX($J1152-12,0),"")</f>
        <v/>
      </c>
    </row>
    <row r="1153">
      <c r="A1153" s="3" t="inlineStr">
        <is>
          <t>岳安容</t>
        </is>
      </c>
      <c r="B1153" s="3" t="inlineStr">
        <is>
          <t>8/5</t>
        </is>
      </c>
      <c r="C1153" s="3" t="inlineStr">
        <is>
          <t>三</t>
        </is>
      </c>
      <c r="D1153" s="3" t="inlineStr">
        <is>
          <t>09:56 19:40</t>
        </is>
      </c>
      <c r="E1153" s="4" t="n">
        <v>0.4138888888888889</v>
      </c>
      <c r="F1153" s="4" t="n">
        <v>0.8194444444444444</v>
      </c>
      <c r="G1153" s="3">
        <f>IF($E1153="","空卡",IF($F1153="","单卡","正常"))</f>
        <v/>
      </c>
      <c r="H1153" s="5">
        <f>IF($G1153="正常",ROUND(($F1153-$E1153)*1440,0),"")</f>
        <v/>
      </c>
      <c r="I1153" s="6">
        <f>IF($G1153="正常",$H1153/60,"")</f>
        <v/>
      </c>
      <c r="J1153" s="7">
        <f>IF($G1153="正常",ROUND($H1153/30,0)/2,"")</f>
        <v/>
      </c>
      <c r="K1153" s="7">
        <f>IF($G1153="正常",MIN($J1153,12),"")</f>
        <v/>
      </c>
      <c r="L1153" s="7">
        <f>IF($G1153="正常",MAX($J1153-12,0),"")</f>
        <v/>
      </c>
    </row>
    <row r="1154">
      <c r="A1154" s="3" t="inlineStr">
        <is>
          <t>岳安容</t>
        </is>
      </c>
      <c r="B1154" s="3" t="inlineStr">
        <is>
          <t>8/6</t>
        </is>
      </c>
      <c r="C1154" s="3" t="inlineStr">
        <is>
          <t>四</t>
        </is>
      </c>
      <c r="D1154" s="3" t="inlineStr">
        <is>
          <t>08:54 19:02</t>
        </is>
      </c>
      <c r="E1154" s="4" t="n">
        <v>0.3708333333333333</v>
      </c>
      <c r="F1154" s="4" t="n">
        <v>0.7930555555555555</v>
      </c>
      <c r="G1154" s="3">
        <f>IF($E1154="","空卡",IF($F1154="","单卡","正常"))</f>
        <v/>
      </c>
      <c r="H1154" s="5">
        <f>IF($G1154="正常",ROUND(($F1154-$E1154)*1440,0),"")</f>
        <v/>
      </c>
      <c r="I1154" s="6">
        <f>IF($G1154="正常",$H1154/60,"")</f>
        <v/>
      </c>
      <c r="J1154" s="7">
        <f>IF($G1154="正常",ROUND($H1154/30,0)/2,"")</f>
        <v/>
      </c>
      <c r="K1154" s="7">
        <f>IF($G1154="正常",MIN($J1154,12),"")</f>
        <v/>
      </c>
      <c r="L1154" s="7">
        <f>IF($G1154="正常",MAX($J1154-12,0),"")</f>
        <v/>
      </c>
    </row>
    <row r="1155">
      <c r="A1155" s="3" t="inlineStr">
        <is>
          <t>岳安容</t>
        </is>
      </c>
      <c r="B1155" s="3" t="inlineStr">
        <is>
          <t>8/7</t>
        </is>
      </c>
      <c r="C1155" s="3" t="inlineStr">
        <is>
          <t>五</t>
        </is>
      </c>
      <c r="D1155" s="3" t="inlineStr">
        <is>
          <t>06:52 16:46</t>
        </is>
      </c>
      <c r="E1155" s="4" t="n">
        <v>0.2861111111111111</v>
      </c>
      <c r="F1155" s="4" t="n">
        <v>0.6986111111111111</v>
      </c>
      <c r="G1155" s="3">
        <f>IF($E1155="","空卡",IF($F1155="","单卡","正常"))</f>
        <v/>
      </c>
      <c r="H1155" s="5">
        <f>IF($G1155="正常",ROUND(($F1155-$E1155)*1440,0),"")</f>
        <v/>
      </c>
      <c r="I1155" s="6">
        <f>IF($G1155="正常",$H1155/60,"")</f>
        <v/>
      </c>
      <c r="J1155" s="7">
        <f>IF($G1155="正常",ROUND($H1155/30,0)/2,"")</f>
        <v/>
      </c>
      <c r="K1155" s="7">
        <f>IF($G1155="正常",MIN($J1155,12),"")</f>
        <v/>
      </c>
      <c r="L1155" s="7">
        <f>IF($G1155="正常",MAX($J1155-12,0),"")</f>
        <v/>
      </c>
    </row>
    <row r="1156">
      <c r="A1156" s="8" t="inlineStr">
        <is>
          <t>岳安容</t>
        </is>
      </c>
      <c r="B1156" s="8" t="inlineStr">
        <is>
          <t>8/8</t>
        </is>
      </c>
      <c r="C1156" s="8" t="inlineStr">
        <is>
          <t>六</t>
        </is>
      </c>
      <c r="D1156" s="8" t="inlineStr"/>
      <c r="E1156" s="9" t="n"/>
      <c r="F1156" s="9" t="n"/>
      <c r="G1156" s="10">
        <f>IF($E1156="","空卡",IF($F1156="","单卡","正常"))</f>
        <v/>
      </c>
      <c r="H1156" s="11">
        <f>IF($G1156="正常",ROUND(($F1156-$E1156)*1440,0),"")</f>
        <v/>
      </c>
      <c r="I1156" s="12">
        <f>IF($G1156="正常",$H1156/60,"")</f>
        <v/>
      </c>
      <c r="J1156" s="13">
        <f>IF($G1156="正常",ROUND($H1156/30,0)/2,"")</f>
        <v/>
      </c>
      <c r="K1156" s="13">
        <f>IF($G1156="正常",MIN($J1156,12),"")</f>
        <v/>
      </c>
      <c r="L1156" s="13">
        <f>IF($G1156="正常",MAX($J1156-12,0),"")</f>
        <v/>
      </c>
    </row>
    <row r="1157">
      <c r="A1157" s="8" t="inlineStr">
        <is>
          <t>岳安容</t>
        </is>
      </c>
      <c r="B1157" s="8" t="inlineStr">
        <is>
          <t>8/9</t>
        </is>
      </c>
      <c r="C1157" s="8" t="inlineStr">
        <is>
          <t>日</t>
        </is>
      </c>
      <c r="D1157" s="8" t="inlineStr"/>
      <c r="E1157" s="9" t="n"/>
      <c r="F1157" s="9" t="n"/>
      <c r="G1157" s="10">
        <f>IF($E1157="","空卡",IF($F1157="","单卡","正常"))</f>
        <v/>
      </c>
      <c r="H1157" s="11">
        <f>IF($G1157="正常",ROUND(($F1157-$E1157)*1440,0),"")</f>
        <v/>
      </c>
      <c r="I1157" s="12">
        <f>IF($G1157="正常",$H1157/60,"")</f>
        <v/>
      </c>
      <c r="J1157" s="13">
        <f>IF($G1157="正常",ROUND($H1157/30,0)/2,"")</f>
        <v/>
      </c>
      <c r="K1157" s="13">
        <f>IF($G1157="正常",MIN($J1157,12),"")</f>
        <v/>
      </c>
      <c r="L1157" s="13">
        <f>IF($G1157="正常",MAX($J1157-12,0),"")</f>
        <v/>
      </c>
    </row>
    <row r="1158">
      <c r="A1158" s="3" t="inlineStr">
        <is>
          <t>岳安容</t>
        </is>
      </c>
      <c r="B1158" s="3" t="inlineStr">
        <is>
          <t>8/10</t>
        </is>
      </c>
      <c r="C1158" s="3" t="inlineStr">
        <is>
          <t>一</t>
        </is>
      </c>
      <c r="D1158" s="3" t="inlineStr">
        <is>
          <t>08:28 18:54</t>
        </is>
      </c>
      <c r="E1158" s="4" t="n">
        <v>0.3527777777777778</v>
      </c>
      <c r="F1158" s="4" t="n">
        <v>0.7875</v>
      </c>
      <c r="G1158" s="3">
        <f>IF($E1158="","空卡",IF($F1158="","单卡","正常"))</f>
        <v/>
      </c>
      <c r="H1158" s="5">
        <f>IF($G1158="正常",ROUND(($F1158-$E1158)*1440,0),"")</f>
        <v/>
      </c>
      <c r="I1158" s="6">
        <f>IF($G1158="正常",$H1158/60,"")</f>
        <v/>
      </c>
      <c r="J1158" s="7">
        <f>IF($G1158="正常",ROUND($H1158/30,0)/2,"")</f>
        <v/>
      </c>
      <c r="K1158" s="7">
        <f>IF($G1158="正常",MIN($J1158,12),"")</f>
        <v/>
      </c>
      <c r="L1158" s="7">
        <f>IF($G1158="正常",MAX($J1158-12,0),"")</f>
        <v/>
      </c>
    </row>
    <row r="1159">
      <c r="A1159" s="3" t="inlineStr">
        <is>
          <t>岳安容</t>
        </is>
      </c>
      <c r="B1159" s="3" t="inlineStr">
        <is>
          <t>8/11</t>
        </is>
      </c>
      <c r="C1159" s="3" t="inlineStr">
        <is>
          <t>二</t>
        </is>
      </c>
      <c r="D1159" s="3" t="inlineStr">
        <is>
          <t>08:29 18:10</t>
        </is>
      </c>
      <c r="E1159" s="4" t="n">
        <v>0.3534722222222222</v>
      </c>
      <c r="F1159" s="4" t="n">
        <v>0.7569444444444444</v>
      </c>
      <c r="G1159" s="3">
        <f>IF($E1159="","空卡",IF($F1159="","单卡","正常"))</f>
        <v/>
      </c>
      <c r="H1159" s="5">
        <f>IF($G1159="正常",ROUND(($F1159-$E1159)*1440,0),"")</f>
        <v/>
      </c>
      <c r="I1159" s="6">
        <f>IF($G1159="正常",$H1159/60,"")</f>
        <v/>
      </c>
      <c r="J1159" s="7">
        <f>IF($G1159="正常",ROUND($H1159/30,0)/2,"")</f>
        <v/>
      </c>
      <c r="K1159" s="7">
        <f>IF($G1159="正常",MIN($J1159,12),"")</f>
        <v/>
      </c>
      <c r="L1159" s="7">
        <f>IF($G1159="正常",MAX($J1159-12,0),"")</f>
        <v/>
      </c>
    </row>
    <row r="1160">
      <c r="A1160" s="8" t="inlineStr">
        <is>
          <t>岳安容</t>
        </is>
      </c>
      <c r="B1160" s="8" t="inlineStr">
        <is>
          <t>8/12</t>
        </is>
      </c>
      <c r="C1160" s="8" t="inlineStr">
        <is>
          <t>三</t>
        </is>
      </c>
      <c r="D1160" s="8" t="inlineStr"/>
      <c r="E1160" s="9" t="n"/>
      <c r="F1160" s="9" t="n"/>
      <c r="G1160" s="10">
        <f>IF($E1160="","空卡",IF($F1160="","单卡","正常"))</f>
        <v/>
      </c>
      <c r="H1160" s="11">
        <f>IF($G1160="正常",ROUND(($F1160-$E1160)*1440,0),"")</f>
        <v/>
      </c>
      <c r="I1160" s="12">
        <f>IF($G1160="正常",$H1160/60,"")</f>
        <v/>
      </c>
      <c r="J1160" s="13">
        <f>IF($G1160="正常",ROUND($H1160/30,0)/2,"")</f>
        <v/>
      </c>
      <c r="K1160" s="13">
        <f>IF($G1160="正常",MIN($J1160,12),"")</f>
        <v/>
      </c>
      <c r="L1160" s="13">
        <f>IF($G1160="正常",MAX($J1160-12,0),"")</f>
        <v/>
      </c>
    </row>
    <row r="1161">
      <c r="A1161" s="3" t="inlineStr">
        <is>
          <t>岳安容</t>
        </is>
      </c>
      <c r="B1161" s="3" t="inlineStr">
        <is>
          <t>8/13</t>
        </is>
      </c>
      <c r="C1161" s="3" t="inlineStr">
        <is>
          <t>四</t>
        </is>
      </c>
      <c r="D1161" s="3" t="inlineStr">
        <is>
          <t>08:29 19:05</t>
        </is>
      </c>
      <c r="E1161" s="4" t="n">
        <v>0.3534722222222222</v>
      </c>
      <c r="F1161" s="4" t="n">
        <v>0.7951388888888888</v>
      </c>
      <c r="G1161" s="3">
        <f>IF($E1161="","空卡",IF($F1161="","单卡","正常"))</f>
        <v/>
      </c>
      <c r="H1161" s="5">
        <f>IF($G1161="正常",ROUND(($F1161-$E1161)*1440,0),"")</f>
        <v/>
      </c>
      <c r="I1161" s="6">
        <f>IF($G1161="正常",$H1161/60,"")</f>
        <v/>
      </c>
      <c r="J1161" s="7">
        <f>IF($G1161="正常",ROUND($H1161/30,0)/2,"")</f>
        <v/>
      </c>
      <c r="K1161" s="7">
        <f>IF($G1161="正常",MIN($J1161,12),"")</f>
        <v/>
      </c>
      <c r="L1161" s="7">
        <f>IF($G1161="正常",MAX($J1161-12,0),"")</f>
        <v/>
      </c>
    </row>
    <row r="1162">
      <c r="A1162" s="3" t="inlineStr">
        <is>
          <t>岳安容</t>
        </is>
      </c>
      <c r="B1162" s="3" t="inlineStr">
        <is>
          <t>8/14</t>
        </is>
      </c>
      <c r="C1162" s="3" t="inlineStr">
        <is>
          <t>五</t>
        </is>
      </c>
      <c r="D1162" s="3" t="inlineStr">
        <is>
          <t>08:25 20:53</t>
        </is>
      </c>
      <c r="E1162" s="4" t="n">
        <v>0.3506944444444444</v>
      </c>
      <c r="F1162" s="4" t="n">
        <v>0.8701388888888889</v>
      </c>
      <c r="G1162" s="3">
        <f>IF($E1162="","空卡",IF($F1162="","单卡","正常"))</f>
        <v/>
      </c>
      <c r="H1162" s="5">
        <f>IF($G1162="正常",ROUND(($F1162-$E1162)*1440,0),"")</f>
        <v/>
      </c>
      <c r="I1162" s="6">
        <f>IF($G1162="正常",$H1162/60,"")</f>
        <v/>
      </c>
      <c r="J1162" s="7">
        <f>IF($G1162="正常",ROUND($H1162/30,0)/2,"")</f>
        <v/>
      </c>
      <c r="K1162" s="7">
        <f>IF($G1162="正常",MIN($J1162,12),"")</f>
        <v/>
      </c>
      <c r="L1162" s="7">
        <f>IF($G1162="正常",MAX($J1162-12,0),"")</f>
        <v/>
      </c>
    </row>
    <row r="1163">
      <c r="A1163" s="3" t="inlineStr">
        <is>
          <t>岳安容</t>
        </is>
      </c>
      <c r="B1163" s="3" t="inlineStr">
        <is>
          <t>8/15</t>
        </is>
      </c>
      <c r="C1163" s="3" t="inlineStr">
        <is>
          <t>六</t>
        </is>
      </c>
      <c r="D1163" s="3" t="inlineStr">
        <is>
          <t>07:00 19:00</t>
        </is>
      </c>
      <c r="E1163" s="4" t="n">
        <v>0.2916666666666667</v>
      </c>
      <c r="F1163" s="4" t="n">
        <v>0.7916666666666666</v>
      </c>
      <c r="G1163" s="3">
        <f>IF($E1163="","空卡",IF($F1163="","单卡","正常"))</f>
        <v/>
      </c>
      <c r="H1163" s="5">
        <f>IF($G1163="正常",ROUND(($F1163-$E1163)*1440,0),"")</f>
        <v/>
      </c>
      <c r="I1163" s="6">
        <f>IF($G1163="正常",$H1163/60,"")</f>
        <v/>
      </c>
      <c r="J1163" s="7">
        <f>IF($G1163="正常",ROUND($H1163/30,0)/2,"")</f>
        <v/>
      </c>
      <c r="K1163" s="7">
        <f>IF($G1163="正常",MIN($J1163,12),"")</f>
        <v/>
      </c>
      <c r="L1163" s="7">
        <f>IF($G1163="正常",MAX($J1163-12,0),"")</f>
        <v/>
      </c>
    </row>
    <row r="1164">
      <c r="A1164" s="8" t="inlineStr">
        <is>
          <t>岳安容</t>
        </is>
      </c>
      <c r="B1164" s="8" t="inlineStr">
        <is>
          <t>8/16</t>
        </is>
      </c>
      <c r="C1164" s="8" t="inlineStr">
        <is>
          <t>日</t>
        </is>
      </c>
      <c r="D1164" s="8" t="inlineStr"/>
      <c r="E1164" s="9" t="n"/>
      <c r="F1164" s="9" t="n"/>
      <c r="G1164" s="10">
        <f>IF($E1164="","空卡",IF($F1164="","单卡","正常"))</f>
        <v/>
      </c>
      <c r="H1164" s="11">
        <f>IF($G1164="正常",ROUND(($F1164-$E1164)*1440,0),"")</f>
        <v/>
      </c>
      <c r="I1164" s="12">
        <f>IF($G1164="正常",$H1164/60,"")</f>
        <v/>
      </c>
      <c r="J1164" s="13">
        <f>IF($G1164="正常",ROUND($H1164/30,0)/2,"")</f>
        <v/>
      </c>
      <c r="K1164" s="13">
        <f>IF($G1164="正常",MIN($J1164,12),"")</f>
        <v/>
      </c>
      <c r="L1164" s="13">
        <f>IF($G1164="正常",MAX($J1164-12,0),"")</f>
        <v/>
      </c>
    </row>
    <row r="1165">
      <c r="A1165" s="3" t="inlineStr">
        <is>
          <t>岳安容</t>
        </is>
      </c>
      <c r="B1165" s="3" t="inlineStr">
        <is>
          <t>8/17</t>
        </is>
      </c>
      <c r="C1165" s="3" t="inlineStr">
        <is>
          <t>一</t>
        </is>
      </c>
      <c r="D1165" s="3" t="inlineStr">
        <is>
          <t>07:58 20:02</t>
        </is>
      </c>
      <c r="E1165" s="4" t="n">
        <v>0.3319444444444444</v>
      </c>
      <c r="F1165" s="4" t="n">
        <v>0.8347222222222223</v>
      </c>
      <c r="G1165" s="3">
        <f>IF($E1165="","空卡",IF($F1165="","单卡","正常"))</f>
        <v/>
      </c>
      <c r="H1165" s="5">
        <f>IF($G1165="正常",ROUND(($F1165-$E1165)*1440,0),"")</f>
        <v/>
      </c>
      <c r="I1165" s="6">
        <f>IF($G1165="正常",$H1165/60,"")</f>
        <v/>
      </c>
      <c r="J1165" s="7">
        <f>IF($G1165="正常",ROUND($H1165/30,0)/2,"")</f>
        <v/>
      </c>
      <c r="K1165" s="7">
        <f>IF($G1165="正常",MIN($J1165,12),"")</f>
        <v/>
      </c>
      <c r="L1165" s="7">
        <f>IF($G1165="正常",MAX($J1165-12,0),"")</f>
        <v/>
      </c>
    </row>
    <row r="1166">
      <c r="A1166" s="3" t="inlineStr">
        <is>
          <t>岳安容</t>
        </is>
      </c>
      <c r="B1166" s="3" t="inlineStr">
        <is>
          <t>8/18</t>
        </is>
      </c>
      <c r="C1166" s="3" t="inlineStr">
        <is>
          <t>二</t>
        </is>
      </c>
      <c r="D1166" s="3" t="inlineStr">
        <is>
          <t>07:57 18:59</t>
        </is>
      </c>
      <c r="E1166" s="4" t="n">
        <v>0.33125</v>
      </c>
      <c r="F1166" s="4" t="n">
        <v>0.7909722222222222</v>
      </c>
      <c r="G1166" s="3">
        <f>IF($E1166="","空卡",IF($F1166="","单卡","正常"))</f>
        <v/>
      </c>
      <c r="H1166" s="5">
        <f>IF($G1166="正常",ROUND(($F1166-$E1166)*1440,0),"")</f>
        <v/>
      </c>
      <c r="I1166" s="6">
        <f>IF($G1166="正常",$H1166/60,"")</f>
        <v/>
      </c>
      <c r="J1166" s="7">
        <f>IF($G1166="正常",ROUND($H1166/30,0)/2,"")</f>
        <v/>
      </c>
      <c r="K1166" s="7">
        <f>IF($G1166="正常",MIN($J1166,12),"")</f>
        <v/>
      </c>
      <c r="L1166" s="7">
        <f>IF($G1166="正常",MAX($J1166-12,0),"")</f>
        <v/>
      </c>
    </row>
    <row r="1167">
      <c r="A1167" s="3" t="inlineStr">
        <is>
          <t>岳安容</t>
        </is>
      </c>
      <c r="B1167" s="3" t="inlineStr">
        <is>
          <t>8/19</t>
        </is>
      </c>
      <c r="C1167" s="3" t="inlineStr">
        <is>
          <t>三</t>
        </is>
      </c>
      <c r="D1167" s="3" t="inlineStr">
        <is>
          <t>07:26 20:30</t>
        </is>
      </c>
      <c r="E1167" s="4" t="n">
        <v>0.3097222222222222</v>
      </c>
      <c r="F1167" s="4" t="n">
        <v>0.8541666666666666</v>
      </c>
      <c r="G1167" s="3">
        <f>IF($E1167="","空卡",IF($F1167="","单卡","正常"))</f>
        <v/>
      </c>
      <c r="H1167" s="5">
        <f>IF($G1167="正常",ROUND(($F1167-$E1167)*1440,0),"")</f>
        <v/>
      </c>
      <c r="I1167" s="6">
        <f>IF($G1167="正常",$H1167/60,"")</f>
        <v/>
      </c>
      <c r="J1167" s="7">
        <f>IF($G1167="正常",ROUND($H1167/30,0)/2,"")</f>
        <v/>
      </c>
      <c r="K1167" s="7">
        <f>IF($G1167="正常",MIN($J1167,12),"")</f>
        <v/>
      </c>
      <c r="L1167" s="7">
        <f>IF($G1167="正常",MAX($J1167-12,0),"")</f>
        <v/>
      </c>
    </row>
    <row r="1168">
      <c r="A1168" s="3" t="inlineStr">
        <is>
          <t>岳安容</t>
        </is>
      </c>
      <c r="B1168" s="3" t="inlineStr">
        <is>
          <t>8/20</t>
        </is>
      </c>
      <c r="C1168" s="3" t="inlineStr">
        <is>
          <t>四</t>
        </is>
      </c>
      <c r="D1168" s="3" t="inlineStr">
        <is>
          <t>10:02 20:29</t>
        </is>
      </c>
      <c r="E1168" s="4" t="n">
        <v>0.4180555555555556</v>
      </c>
      <c r="F1168" s="4" t="n">
        <v>0.8534722222222222</v>
      </c>
      <c r="G1168" s="3">
        <f>IF($E1168="","空卡",IF($F1168="","单卡","正常"))</f>
        <v/>
      </c>
      <c r="H1168" s="5">
        <f>IF($G1168="正常",ROUND(($F1168-$E1168)*1440,0),"")</f>
        <v/>
      </c>
      <c r="I1168" s="6">
        <f>IF($G1168="正常",$H1168/60,"")</f>
        <v/>
      </c>
      <c r="J1168" s="7">
        <f>IF($G1168="正常",ROUND($H1168/30,0)/2,"")</f>
        <v/>
      </c>
      <c r="K1168" s="7">
        <f>IF($G1168="正常",MIN($J1168,12),"")</f>
        <v/>
      </c>
      <c r="L1168" s="7">
        <f>IF($G1168="正常",MAX($J1168-12,0),"")</f>
        <v/>
      </c>
    </row>
    <row r="1169">
      <c r="A1169" s="3" t="inlineStr">
        <is>
          <t>岳安容</t>
        </is>
      </c>
      <c r="B1169" s="3" t="inlineStr">
        <is>
          <t>8/21</t>
        </is>
      </c>
      <c r="C1169" s="3" t="inlineStr">
        <is>
          <t>五</t>
        </is>
      </c>
      <c r="D1169" s="3" t="inlineStr">
        <is>
          <t>06:57 19:04</t>
        </is>
      </c>
      <c r="E1169" s="4" t="n">
        <v>0.2895833333333334</v>
      </c>
      <c r="F1169" s="4" t="n">
        <v>0.7944444444444444</v>
      </c>
      <c r="G1169" s="3">
        <f>IF($E1169="","空卡",IF($F1169="","单卡","正常"))</f>
        <v/>
      </c>
      <c r="H1169" s="5">
        <f>IF($G1169="正常",ROUND(($F1169-$E1169)*1440,0),"")</f>
        <v/>
      </c>
      <c r="I1169" s="6">
        <f>IF($G1169="正常",$H1169/60,"")</f>
        <v/>
      </c>
      <c r="J1169" s="7">
        <f>IF($G1169="正常",ROUND($H1169/30,0)/2,"")</f>
        <v/>
      </c>
      <c r="K1169" s="7">
        <f>IF($G1169="正常",MIN($J1169,12),"")</f>
        <v/>
      </c>
      <c r="L1169" s="7">
        <f>IF($G1169="正常",MAX($J1169-12,0),"")</f>
        <v/>
      </c>
    </row>
    <row r="1170">
      <c r="A1170" s="8" t="inlineStr">
        <is>
          <t>岳安容</t>
        </is>
      </c>
      <c r="B1170" s="8" t="inlineStr">
        <is>
          <t>8/22</t>
        </is>
      </c>
      <c r="C1170" s="8" t="inlineStr">
        <is>
          <t>六</t>
        </is>
      </c>
      <c r="D1170" s="8" t="inlineStr"/>
      <c r="E1170" s="9" t="n"/>
      <c r="F1170" s="9" t="n"/>
      <c r="G1170" s="10">
        <f>IF($E1170="","空卡",IF($F1170="","单卡","正常"))</f>
        <v/>
      </c>
      <c r="H1170" s="11">
        <f>IF($G1170="正常",ROUND(($F1170-$E1170)*1440,0),"")</f>
        <v/>
      </c>
      <c r="I1170" s="12">
        <f>IF($G1170="正常",$H1170/60,"")</f>
        <v/>
      </c>
      <c r="J1170" s="13">
        <f>IF($G1170="正常",ROUND($H1170/30,0)/2,"")</f>
        <v/>
      </c>
      <c r="K1170" s="13">
        <f>IF($G1170="正常",MIN($J1170,12),"")</f>
        <v/>
      </c>
      <c r="L1170" s="13">
        <f>IF($G1170="正常",MAX($J1170-12,0),"")</f>
        <v/>
      </c>
    </row>
    <row r="1171">
      <c r="A1171" s="8" t="inlineStr">
        <is>
          <t>岳安容</t>
        </is>
      </c>
      <c r="B1171" s="8" t="inlineStr">
        <is>
          <t>8/23</t>
        </is>
      </c>
      <c r="C1171" s="8" t="inlineStr">
        <is>
          <t>日</t>
        </is>
      </c>
      <c r="D1171" s="8" t="inlineStr"/>
      <c r="E1171" s="9" t="n"/>
      <c r="F1171" s="9" t="n"/>
      <c r="G1171" s="10">
        <f>IF($E1171="","空卡",IF($F1171="","单卡","正常"))</f>
        <v/>
      </c>
      <c r="H1171" s="11">
        <f>IF($G1171="正常",ROUND(($F1171-$E1171)*1440,0),"")</f>
        <v/>
      </c>
      <c r="I1171" s="12">
        <f>IF($G1171="正常",$H1171/60,"")</f>
        <v/>
      </c>
      <c r="J1171" s="13">
        <f>IF($G1171="正常",ROUND($H1171/30,0)/2,"")</f>
        <v/>
      </c>
      <c r="K1171" s="13">
        <f>IF($G1171="正常",MIN($J1171,12),"")</f>
        <v/>
      </c>
      <c r="L1171" s="13">
        <f>IF($G1171="正常",MAX($J1171-12,0),"")</f>
        <v/>
      </c>
    </row>
    <row r="1172">
      <c r="A1172" s="3" t="inlineStr">
        <is>
          <t>岳安容</t>
        </is>
      </c>
      <c r="B1172" s="3" t="inlineStr">
        <is>
          <t>8/24</t>
        </is>
      </c>
      <c r="C1172" s="3" t="inlineStr">
        <is>
          <t>一</t>
        </is>
      </c>
      <c r="D1172" s="3" t="inlineStr">
        <is>
          <t>06:59 16:41</t>
        </is>
      </c>
      <c r="E1172" s="4" t="n">
        <v>0.2909722222222222</v>
      </c>
      <c r="F1172" s="4" t="n">
        <v>0.6951388888888889</v>
      </c>
      <c r="G1172" s="3">
        <f>IF($E1172="","空卡",IF($F1172="","单卡","正常"))</f>
        <v/>
      </c>
      <c r="H1172" s="5">
        <f>IF($G1172="正常",ROUND(($F1172-$E1172)*1440,0),"")</f>
        <v/>
      </c>
      <c r="I1172" s="6">
        <f>IF($G1172="正常",$H1172/60,"")</f>
        <v/>
      </c>
      <c r="J1172" s="7">
        <f>IF($G1172="正常",ROUND($H1172/30,0)/2,"")</f>
        <v/>
      </c>
      <c r="K1172" s="7">
        <f>IF($G1172="正常",MIN($J1172,12),"")</f>
        <v/>
      </c>
      <c r="L1172" s="7">
        <f>IF($G1172="正常",MAX($J1172-12,0),"")</f>
        <v/>
      </c>
    </row>
    <row r="1173">
      <c r="A1173" s="3" t="inlineStr">
        <is>
          <t>岳安容</t>
        </is>
      </c>
      <c r="B1173" s="3" t="inlineStr">
        <is>
          <t>8/25</t>
        </is>
      </c>
      <c r="C1173" s="3" t="inlineStr">
        <is>
          <t>二</t>
        </is>
      </c>
      <c r="D1173" s="3" t="inlineStr">
        <is>
          <t>09:08 20:19</t>
        </is>
      </c>
      <c r="E1173" s="4" t="n">
        <v>0.3805555555555555</v>
      </c>
      <c r="F1173" s="4" t="n">
        <v>0.8465277777777778</v>
      </c>
      <c r="G1173" s="3">
        <f>IF($E1173="","空卡",IF($F1173="","单卡","正常"))</f>
        <v/>
      </c>
      <c r="H1173" s="5">
        <f>IF($G1173="正常",ROUND(($F1173-$E1173)*1440,0),"")</f>
        <v/>
      </c>
      <c r="I1173" s="6">
        <f>IF($G1173="正常",$H1173/60,"")</f>
        <v/>
      </c>
      <c r="J1173" s="7">
        <f>IF($G1173="正常",ROUND($H1173/30,0)/2,"")</f>
        <v/>
      </c>
      <c r="K1173" s="7">
        <f>IF($G1173="正常",MIN($J1173,12),"")</f>
        <v/>
      </c>
      <c r="L1173" s="7">
        <f>IF($G1173="正常",MAX($J1173-12,0),"")</f>
        <v/>
      </c>
    </row>
    <row r="1174">
      <c r="A1174" s="3" t="inlineStr">
        <is>
          <t>岳安容</t>
        </is>
      </c>
      <c r="B1174" s="3" t="inlineStr">
        <is>
          <t>8/26</t>
        </is>
      </c>
      <c r="C1174" s="3" t="inlineStr">
        <is>
          <t>三</t>
        </is>
      </c>
      <c r="D1174" s="3" t="inlineStr">
        <is>
          <t>07:51 18:59</t>
        </is>
      </c>
      <c r="E1174" s="4" t="n">
        <v>0.3270833333333333</v>
      </c>
      <c r="F1174" s="4" t="n">
        <v>0.7909722222222222</v>
      </c>
      <c r="G1174" s="3">
        <f>IF($E1174="","空卡",IF($F1174="","单卡","正常"))</f>
        <v/>
      </c>
      <c r="H1174" s="5">
        <f>IF($G1174="正常",ROUND(($F1174-$E1174)*1440,0),"")</f>
        <v/>
      </c>
      <c r="I1174" s="6">
        <f>IF($G1174="正常",$H1174/60,"")</f>
        <v/>
      </c>
      <c r="J1174" s="7">
        <f>IF($G1174="正常",ROUND($H1174/30,0)/2,"")</f>
        <v/>
      </c>
      <c r="K1174" s="7">
        <f>IF($G1174="正常",MIN($J1174,12),"")</f>
        <v/>
      </c>
      <c r="L1174" s="7">
        <f>IF($G1174="正常",MAX($J1174-12,0),"")</f>
        <v/>
      </c>
    </row>
    <row r="1175">
      <c r="A1175" s="3" t="inlineStr">
        <is>
          <t>岳安容</t>
        </is>
      </c>
      <c r="B1175" s="3" t="inlineStr">
        <is>
          <t>8/27</t>
        </is>
      </c>
      <c r="C1175" s="3" t="inlineStr">
        <is>
          <t>四</t>
        </is>
      </c>
      <c r="D1175" s="3" t="inlineStr">
        <is>
          <t>07:52 20:29</t>
        </is>
      </c>
      <c r="E1175" s="4" t="n">
        <v>0.3277777777777778</v>
      </c>
      <c r="F1175" s="4" t="n">
        <v>0.8534722222222222</v>
      </c>
      <c r="G1175" s="3">
        <f>IF($E1175="","空卡",IF($F1175="","单卡","正常"))</f>
        <v/>
      </c>
      <c r="H1175" s="5">
        <f>IF($G1175="正常",ROUND(($F1175-$E1175)*1440,0),"")</f>
        <v/>
      </c>
      <c r="I1175" s="6">
        <f>IF($G1175="正常",$H1175/60,"")</f>
        <v/>
      </c>
      <c r="J1175" s="7">
        <f>IF($G1175="正常",ROUND($H1175/30,0)/2,"")</f>
        <v/>
      </c>
      <c r="K1175" s="7">
        <f>IF($G1175="正常",MIN($J1175,12),"")</f>
        <v/>
      </c>
      <c r="L1175" s="7">
        <f>IF($G1175="正常",MAX($J1175-12,0),"")</f>
        <v/>
      </c>
    </row>
    <row r="1176">
      <c r="A1176" s="3" t="inlineStr">
        <is>
          <t>岳安容</t>
        </is>
      </c>
      <c r="B1176" s="3" t="inlineStr">
        <is>
          <t>8/28</t>
        </is>
      </c>
      <c r="C1176" s="3" t="inlineStr">
        <is>
          <t>五</t>
        </is>
      </c>
      <c r="D1176" s="3" t="inlineStr">
        <is>
          <t>07:59 18:28</t>
        </is>
      </c>
      <c r="E1176" s="4" t="n">
        <v>0.3326388888888889</v>
      </c>
      <c r="F1176" s="4" t="n">
        <v>0.7694444444444445</v>
      </c>
      <c r="G1176" s="3">
        <f>IF($E1176="","空卡",IF($F1176="","单卡","正常"))</f>
        <v/>
      </c>
      <c r="H1176" s="5">
        <f>IF($G1176="正常",ROUND(($F1176-$E1176)*1440,0),"")</f>
        <v/>
      </c>
      <c r="I1176" s="6">
        <f>IF($G1176="正常",$H1176/60,"")</f>
        <v/>
      </c>
      <c r="J1176" s="7">
        <f>IF($G1176="正常",ROUND($H1176/30,0)/2,"")</f>
        <v/>
      </c>
      <c r="K1176" s="7">
        <f>IF($G1176="正常",MIN($J1176,12),"")</f>
        <v/>
      </c>
      <c r="L1176" s="7">
        <f>IF($G1176="正常",MAX($J1176-12,0),"")</f>
        <v/>
      </c>
    </row>
    <row r="1177">
      <c r="A1177" s="3" t="inlineStr">
        <is>
          <t>岳安容</t>
        </is>
      </c>
      <c r="B1177" s="3" t="inlineStr">
        <is>
          <t>8/29</t>
        </is>
      </c>
      <c r="C1177" s="3" t="inlineStr">
        <is>
          <t>六</t>
        </is>
      </c>
      <c r="D1177" s="3" t="inlineStr">
        <is>
          <t>07:54 21:59</t>
        </is>
      </c>
      <c r="E1177" s="4" t="n">
        <v>0.3291666666666667</v>
      </c>
      <c r="F1177" s="4" t="n">
        <v>0.9159722222222222</v>
      </c>
      <c r="G1177" s="3">
        <f>IF($E1177="","空卡",IF($F1177="","单卡","正常"))</f>
        <v/>
      </c>
      <c r="H1177" s="5">
        <f>IF($G1177="正常",ROUND(($F1177-$E1177)*1440,0),"")</f>
        <v/>
      </c>
      <c r="I1177" s="6">
        <f>IF($G1177="正常",$H1177/60,"")</f>
        <v/>
      </c>
      <c r="J1177" s="7">
        <f>IF($G1177="正常",ROUND($H1177/30,0)/2,"")</f>
        <v/>
      </c>
      <c r="K1177" s="7">
        <f>IF($G1177="正常",MIN($J1177,12),"")</f>
        <v/>
      </c>
      <c r="L1177" s="7">
        <f>IF($G1177="正常",MAX($J1177-12,0),"")</f>
        <v/>
      </c>
    </row>
    <row r="1178">
      <c r="A1178" s="8" t="inlineStr">
        <is>
          <t>岳安容</t>
        </is>
      </c>
      <c r="B1178" s="8" t="inlineStr">
        <is>
          <t>8/30</t>
        </is>
      </c>
      <c r="C1178" s="8" t="inlineStr">
        <is>
          <t>日</t>
        </is>
      </c>
      <c r="D1178" s="8" t="inlineStr"/>
      <c r="E1178" s="9" t="n"/>
      <c r="F1178" s="9" t="n"/>
      <c r="G1178" s="10">
        <f>IF($E1178="","空卡",IF($F1178="","单卡","正常"))</f>
        <v/>
      </c>
      <c r="H1178" s="11">
        <f>IF($G1178="正常",ROUND(($F1178-$E1178)*1440,0),"")</f>
        <v/>
      </c>
      <c r="I1178" s="12">
        <f>IF($G1178="正常",$H1178/60,"")</f>
        <v/>
      </c>
      <c r="J1178" s="13">
        <f>IF($G1178="正常",ROUND($H1178/30,0)/2,"")</f>
        <v/>
      </c>
      <c r="K1178" s="13">
        <f>IF($G1178="正常",MIN($J1178,12),"")</f>
        <v/>
      </c>
      <c r="L1178" s="13">
        <f>IF($G1178="正常",MAX($J1178-12,0),"")</f>
        <v/>
      </c>
    </row>
    <row r="1179">
      <c r="A1179" s="8" t="inlineStr">
        <is>
          <t>岳安容</t>
        </is>
      </c>
      <c r="B1179" s="8" t="inlineStr">
        <is>
          <t>8/31</t>
        </is>
      </c>
      <c r="C1179" s="8" t="inlineStr">
        <is>
          <t>一</t>
        </is>
      </c>
      <c r="D1179" s="8" t="inlineStr"/>
      <c r="E1179" s="9" t="n"/>
      <c r="F1179" s="9" t="n"/>
      <c r="G1179" s="10">
        <f>IF($E1179="","空卡",IF($F1179="","单卡","正常"))</f>
        <v/>
      </c>
      <c r="H1179" s="11">
        <f>IF($G1179="正常",ROUND(($F1179-$E1179)*1440,0),"")</f>
        <v/>
      </c>
      <c r="I1179" s="12">
        <f>IF($G1179="正常",$H1179/60,"")</f>
        <v/>
      </c>
      <c r="J1179" s="13">
        <f>IF($G1179="正常",ROUND($H1179/30,0)/2,"")</f>
        <v/>
      </c>
      <c r="K1179" s="13">
        <f>IF($G1179="正常",MIN($J1179,12),"")</f>
        <v/>
      </c>
      <c r="L1179" s="13">
        <f>IF($G1179="正常",MAX($J1179-12,0),"")</f>
        <v/>
      </c>
    </row>
    <row r="1180">
      <c r="A1180" s="3" t="inlineStr">
        <is>
          <t>陈善芳</t>
        </is>
      </c>
      <c r="B1180" s="3" t="inlineStr">
        <is>
          <t>8/1</t>
        </is>
      </c>
      <c r="C1180" s="3" t="inlineStr">
        <is>
          <t>六</t>
        </is>
      </c>
      <c r="D1180" s="3" t="inlineStr">
        <is>
          <t>07:53 17:01</t>
        </is>
      </c>
      <c r="E1180" s="4" t="n">
        <v>0.3284722222222222</v>
      </c>
      <c r="F1180" s="4" t="n">
        <v>0.7090277777777778</v>
      </c>
      <c r="G1180" s="3">
        <f>IF($E1180="","空卡",IF($F1180="","单卡","正常"))</f>
        <v/>
      </c>
      <c r="H1180" s="5">
        <f>IF($G1180="正常",ROUND(($F1180-$E1180)*1440,0),"")</f>
        <v/>
      </c>
      <c r="I1180" s="6">
        <f>IF($G1180="正常",$H1180/60,"")</f>
        <v/>
      </c>
      <c r="J1180" s="7">
        <f>IF($G1180="正常",ROUND($H1180/30,0)/2,"")</f>
        <v/>
      </c>
      <c r="K1180" s="7">
        <f>IF($G1180="正常",MIN($J1180,12),"")</f>
        <v/>
      </c>
      <c r="L1180" s="7">
        <f>IF($G1180="正常",MAX($J1180-12,0),"")</f>
        <v/>
      </c>
    </row>
    <row r="1181">
      <c r="A1181" s="8" t="inlineStr">
        <is>
          <t>陈善芳</t>
        </is>
      </c>
      <c r="B1181" s="8" t="inlineStr">
        <is>
          <t>8/2</t>
        </is>
      </c>
      <c r="C1181" s="8" t="inlineStr">
        <is>
          <t>日</t>
        </is>
      </c>
      <c r="D1181" s="8" t="inlineStr">
        <is>
          <t>07:54</t>
        </is>
      </c>
      <c r="E1181" s="9" t="n">
        <v>0.3291666666666667</v>
      </c>
      <c r="F1181" s="9" t="n"/>
      <c r="G1181" s="10">
        <f>IF($E1181="","空卡",IF($F1181="","单卡","正常"))</f>
        <v/>
      </c>
      <c r="H1181" s="11">
        <f>IF($G1181="正常",ROUND(($F1181-$E1181)*1440,0),"")</f>
        <v/>
      </c>
      <c r="I1181" s="12">
        <f>IF($G1181="正常",$H1181/60,"")</f>
        <v/>
      </c>
      <c r="J1181" s="13">
        <f>IF($G1181="正常",ROUND($H1181/30,0)/2,"")</f>
        <v/>
      </c>
      <c r="K1181" s="13">
        <f>IF($G1181="正常",MIN($J1181,12),"")</f>
        <v/>
      </c>
      <c r="L1181" s="13">
        <f>IF($G1181="正常",MAX($J1181-12,0),"")</f>
        <v/>
      </c>
    </row>
    <row r="1182">
      <c r="A1182" s="3" t="inlineStr">
        <is>
          <t>陈善芳</t>
        </is>
      </c>
      <c r="B1182" s="3" t="inlineStr">
        <is>
          <t>8/3</t>
        </is>
      </c>
      <c r="C1182" s="3" t="inlineStr">
        <is>
          <t>一</t>
        </is>
      </c>
      <c r="D1182" s="3" t="inlineStr">
        <is>
          <t>08:22 15:30</t>
        </is>
      </c>
      <c r="E1182" s="4" t="n">
        <v>0.3486111111111111</v>
      </c>
      <c r="F1182" s="4" t="n">
        <v>0.6458333333333334</v>
      </c>
      <c r="G1182" s="3">
        <f>IF($E1182="","空卡",IF($F1182="","单卡","正常"))</f>
        <v/>
      </c>
      <c r="H1182" s="5">
        <f>IF($G1182="正常",ROUND(($F1182-$E1182)*1440,0),"")</f>
        <v/>
      </c>
      <c r="I1182" s="6">
        <f>IF($G1182="正常",$H1182/60,"")</f>
        <v/>
      </c>
      <c r="J1182" s="7">
        <f>IF($G1182="正常",ROUND($H1182/30,0)/2,"")</f>
        <v/>
      </c>
      <c r="K1182" s="7">
        <f>IF($G1182="正常",MIN($J1182,12),"")</f>
        <v/>
      </c>
      <c r="L1182" s="7">
        <f>IF($G1182="正常",MAX($J1182-12,0),"")</f>
        <v/>
      </c>
    </row>
    <row r="1183">
      <c r="A1183" s="3" t="inlineStr">
        <is>
          <t>陈善芳</t>
        </is>
      </c>
      <c r="B1183" s="3" t="inlineStr">
        <is>
          <t>8/4</t>
        </is>
      </c>
      <c r="C1183" s="3" t="inlineStr">
        <is>
          <t>二</t>
        </is>
      </c>
      <c r="D1183" s="3" t="inlineStr">
        <is>
          <t>09:00 19:32</t>
        </is>
      </c>
      <c r="E1183" s="4" t="n">
        <v>0.375</v>
      </c>
      <c r="F1183" s="4" t="n">
        <v>0.8138888888888889</v>
      </c>
      <c r="G1183" s="3">
        <f>IF($E1183="","空卡",IF($F1183="","单卡","正常"))</f>
        <v/>
      </c>
      <c r="H1183" s="5">
        <f>IF($G1183="正常",ROUND(($F1183-$E1183)*1440,0),"")</f>
        <v/>
      </c>
      <c r="I1183" s="6">
        <f>IF($G1183="正常",$H1183/60,"")</f>
        <v/>
      </c>
      <c r="J1183" s="7">
        <f>IF($G1183="正常",ROUND($H1183/30,0)/2,"")</f>
        <v/>
      </c>
      <c r="K1183" s="7">
        <f>IF($G1183="正常",MIN($J1183,12),"")</f>
        <v/>
      </c>
      <c r="L1183" s="7">
        <f>IF($G1183="正常",MAX($J1183-12,0),"")</f>
        <v/>
      </c>
    </row>
    <row r="1184">
      <c r="A1184" s="8" t="inlineStr">
        <is>
          <t>陈善芳</t>
        </is>
      </c>
      <c r="B1184" s="8" t="inlineStr">
        <is>
          <t>8/5</t>
        </is>
      </c>
      <c r="C1184" s="8" t="inlineStr">
        <is>
          <t>三</t>
        </is>
      </c>
      <c r="D1184" s="8" t="inlineStr"/>
      <c r="E1184" s="9" t="n"/>
      <c r="F1184" s="9" t="n"/>
      <c r="G1184" s="10">
        <f>IF($E1184="","空卡",IF($F1184="","单卡","正常"))</f>
        <v/>
      </c>
      <c r="H1184" s="11">
        <f>IF($G1184="正常",ROUND(($F1184-$E1184)*1440,0),"")</f>
        <v/>
      </c>
      <c r="I1184" s="12">
        <f>IF($G1184="正常",$H1184/60,"")</f>
        <v/>
      </c>
      <c r="J1184" s="13">
        <f>IF($G1184="正常",ROUND($H1184/30,0)/2,"")</f>
        <v/>
      </c>
      <c r="K1184" s="13">
        <f>IF($G1184="正常",MIN($J1184,12),"")</f>
        <v/>
      </c>
      <c r="L1184" s="13">
        <f>IF($G1184="正常",MAX($J1184-12,0),"")</f>
        <v/>
      </c>
    </row>
    <row r="1185">
      <c r="A1185" s="3" t="inlineStr">
        <is>
          <t>陈善芳</t>
        </is>
      </c>
      <c r="B1185" s="3" t="inlineStr">
        <is>
          <t>8/6</t>
        </is>
      </c>
      <c r="C1185" s="3" t="inlineStr">
        <is>
          <t>四</t>
        </is>
      </c>
      <c r="D1185" s="3" t="inlineStr">
        <is>
          <t>08:49 19:01</t>
        </is>
      </c>
      <c r="E1185" s="4" t="n">
        <v>0.3673611111111111</v>
      </c>
      <c r="F1185" s="4" t="n">
        <v>0.7923611111111111</v>
      </c>
      <c r="G1185" s="3">
        <f>IF($E1185="","空卡",IF($F1185="","单卡","正常"))</f>
        <v/>
      </c>
      <c r="H1185" s="5">
        <f>IF($G1185="正常",ROUND(($F1185-$E1185)*1440,0),"")</f>
        <v/>
      </c>
      <c r="I1185" s="6">
        <f>IF($G1185="正常",$H1185/60,"")</f>
        <v/>
      </c>
      <c r="J1185" s="7">
        <f>IF($G1185="正常",ROUND($H1185/30,0)/2,"")</f>
        <v/>
      </c>
      <c r="K1185" s="7">
        <f>IF($G1185="正常",MIN($J1185,12),"")</f>
        <v/>
      </c>
      <c r="L1185" s="7">
        <f>IF($G1185="正常",MAX($J1185-12,0),"")</f>
        <v/>
      </c>
    </row>
    <row r="1186">
      <c r="A1186" s="3" t="inlineStr">
        <is>
          <t>陈善芳</t>
        </is>
      </c>
      <c r="B1186" s="3" t="inlineStr">
        <is>
          <t>8/7</t>
        </is>
      </c>
      <c r="C1186" s="3" t="inlineStr">
        <is>
          <t>五</t>
        </is>
      </c>
      <c r="D1186" s="3" t="inlineStr">
        <is>
          <t>06:52 19:30</t>
        </is>
      </c>
      <c r="E1186" s="4" t="n">
        <v>0.2861111111111111</v>
      </c>
      <c r="F1186" s="4" t="n">
        <v>0.8125</v>
      </c>
      <c r="G1186" s="3">
        <f>IF($E1186="","空卡",IF($F1186="","单卡","正常"))</f>
        <v/>
      </c>
      <c r="H1186" s="5">
        <f>IF($G1186="正常",ROUND(($F1186-$E1186)*1440,0),"")</f>
        <v/>
      </c>
      <c r="I1186" s="6">
        <f>IF($G1186="正常",$H1186/60,"")</f>
        <v/>
      </c>
      <c r="J1186" s="7">
        <f>IF($G1186="正常",ROUND($H1186/30,0)/2,"")</f>
        <v/>
      </c>
      <c r="K1186" s="7">
        <f>IF($G1186="正常",MIN($J1186,12),"")</f>
        <v/>
      </c>
      <c r="L1186" s="7">
        <f>IF($G1186="正常",MAX($J1186-12,0),"")</f>
        <v/>
      </c>
    </row>
    <row r="1187">
      <c r="A1187" s="3" t="inlineStr">
        <is>
          <t>陈善芳</t>
        </is>
      </c>
      <c r="B1187" s="3" t="inlineStr">
        <is>
          <t>8/8</t>
        </is>
      </c>
      <c r="C1187" s="3" t="inlineStr">
        <is>
          <t>六</t>
        </is>
      </c>
      <c r="D1187" s="3" t="inlineStr">
        <is>
          <t>08:27 19:38</t>
        </is>
      </c>
      <c r="E1187" s="4" t="n">
        <v>0.3520833333333334</v>
      </c>
      <c r="F1187" s="4" t="n">
        <v>0.8180555555555555</v>
      </c>
      <c r="G1187" s="3">
        <f>IF($E1187="","空卡",IF($F1187="","单卡","正常"))</f>
        <v/>
      </c>
      <c r="H1187" s="5">
        <f>IF($G1187="正常",ROUND(($F1187-$E1187)*1440,0),"")</f>
        <v/>
      </c>
      <c r="I1187" s="6">
        <f>IF($G1187="正常",$H1187/60,"")</f>
        <v/>
      </c>
      <c r="J1187" s="7">
        <f>IF($G1187="正常",ROUND($H1187/30,0)/2,"")</f>
        <v/>
      </c>
      <c r="K1187" s="7">
        <f>IF($G1187="正常",MIN($J1187,12),"")</f>
        <v/>
      </c>
      <c r="L1187" s="7">
        <f>IF($G1187="正常",MAX($J1187-12,0),"")</f>
        <v/>
      </c>
    </row>
    <row r="1188">
      <c r="A1188" s="8" t="inlineStr">
        <is>
          <t>陈善芳</t>
        </is>
      </c>
      <c r="B1188" s="8" t="inlineStr">
        <is>
          <t>8/9</t>
        </is>
      </c>
      <c r="C1188" s="8" t="inlineStr">
        <is>
          <t>日</t>
        </is>
      </c>
      <c r="D1188" s="8" t="inlineStr"/>
      <c r="E1188" s="9" t="n"/>
      <c r="F1188" s="9" t="n"/>
      <c r="G1188" s="10">
        <f>IF($E1188="","空卡",IF($F1188="","单卡","正常"))</f>
        <v/>
      </c>
      <c r="H1188" s="11">
        <f>IF($G1188="正常",ROUND(($F1188-$E1188)*1440,0),"")</f>
        <v/>
      </c>
      <c r="I1188" s="12">
        <f>IF($G1188="正常",$H1188/60,"")</f>
        <v/>
      </c>
      <c r="J1188" s="13">
        <f>IF($G1188="正常",ROUND($H1188/30,0)/2,"")</f>
        <v/>
      </c>
      <c r="K1188" s="13">
        <f>IF($G1188="正常",MIN($J1188,12),"")</f>
        <v/>
      </c>
      <c r="L1188" s="13">
        <f>IF($G1188="正常",MAX($J1188-12,0),"")</f>
        <v/>
      </c>
    </row>
    <row r="1189">
      <c r="A1189" s="8" t="inlineStr">
        <is>
          <t>陈善芳</t>
        </is>
      </c>
      <c r="B1189" s="8" t="inlineStr">
        <is>
          <t>8/10</t>
        </is>
      </c>
      <c r="C1189" s="8" t="inlineStr">
        <is>
          <t>一</t>
        </is>
      </c>
      <c r="D1189" s="8" t="inlineStr"/>
      <c r="E1189" s="9" t="n"/>
      <c r="F1189" s="9" t="n"/>
      <c r="G1189" s="10">
        <f>IF($E1189="","空卡",IF($F1189="","单卡","正常"))</f>
        <v/>
      </c>
      <c r="H1189" s="11">
        <f>IF($G1189="正常",ROUND(($F1189-$E1189)*1440,0),"")</f>
        <v/>
      </c>
      <c r="I1189" s="12">
        <f>IF($G1189="正常",$H1189/60,"")</f>
        <v/>
      </c>
      <c r="J1189" s="13">
        <f>IF($G1189="正常",ROUND($H1189/30,0)/2,"")</f>
        <v/>
      </c>
      <c r="K1189" s="13">
        <f>IF($G1189="正常",MIN($J1189,12),"")</f>
        <v/>
      </c>
      <c r="L1189" s="13">
        <f>IF($G1189="正常",MAX($J1189-12,0),"")</f>
        <v/>
      </c>
    </row>
    <row r="1190">
      <c r="A1190" s="8" t="inlineStr">
        <is>
          <t>陈善芳</t>
        </is>
      </c>
      <c r="B1190" s="8" t="inlineStr">
        <is>
          <t>8/11</t>
        </is>
      </c>
      <c r="C1190" s="8" t="inlineStr">
        <is>
          <t>二</t>
        </is>
      </c>
      <c r="D1190" s="8" t="inlineStr"/>
      <c r="E1190" s="9" t="n"/>
      <c r="F1190" s="9" t="n"/>
      <c r="G1190" s="10">
        <f>IF($E1190="","空卡",IF($F1190="","单卡","正常"))</f>
        <v/>
      </c>
      <c r="H1190" s="11">
        <f>IF($G1190="正常",ROUND(($F1190-$E1190)*1440,0),"")</f>
        <v/>
      </c>
      <c r="I1190" s="12">
        <f>IF($G1190="正常",$H1190/60,"")</f>
        <v/>
      </c>
      <c r="J1190" s="13">
        <f>IF($G1190="正常",ROUND($H1190/30,0)/2,"")</f>
        <v/>
      </c>
      <c r="K1190" s="13">
        <f>IF($G1190="正常",MIN($J1190,12),"")</f>
        <v/>
      </c>
      <c r="L1190" s="13">
        <f>IF($G1190="正常",MAX($J1190-12,0),"")</f>
        <v/>
      </c>
    </row>
    <row r="1191">
      <c r="A1191" s="8" t="inlineStr">
        <is>
          <t>陈善芳</t>
        </is>
      </c>
      <c r="B1191" s="8" t="inlineStr">
        <is>
          <t>8/12</t>
        </is>
      </c>
      <c r="C1191" s="8" t="inlineStr">
        <is>
          <t>三</t>
        </is>
      </c>
      <c r="D1191" s="8" t="inlineStr"/>
      <c r="E1191" s="9" t="n"/>
      <c r="F1191" s="9" t="n"/>
      <c r="G1191" s="10">
        <f>IF($E1191="","空卡",IF($F1191="","单卡","正常"))</f>
        <v/>
      </c>
      <c r="H1191" s="11">
        <f>IF($G1191="正常",ROUND(($F1191-$E1191)*1440,0),"")</f>
        <v/>
      </c>
      <c r="I1191" s="12">
        <f>IF($G1191="正常",$H1191/60,"")</f>
        <v/>
      </c>
      <c r="J1191" s="13">
        <f>IF($G1191="正常",ROUND($H1191/30,0)/2,"")</f>
        <v/>
      </c>
      <c r="K1191" s="13">
        <f>IF($G1191="正常",MIN($J1191,12),"")</f>
        <v/>
      </c>
      <c r="L1191" s="13">
        <f>IF($G1191="正常",MAX($J1191-12,0),"")</f>
        <v/>
      </c>
    </row>
    <row r="1192">
      <c r="A1192" s="8" t="inlineStr">
        <is>
          <t>陈善芳</t>
        </is>
      </c>
      <c r="B1192" s="8" t="inlineStr">
        <is>
          <t>8/13</t>
        </is>
      </c>
      <c r="C1192" s="8" t="inlineStr">
        <is>
          <t>四</t>
        </is>
      </c>
      <c r="D1192" s="8" t="inlineStr"/>
      <c r="E1192" s="9" t="n"/>
      <c r="F1192" s="9" t="n"/>
      <c r="G1192" s="10">
        <f>IF($E1192="","空卡",IF($F1192="","单卡","正常"))</f>
        <v/>
      </c>
      <c r="H1192" s="11">
        <f>IF($G1192="正常",ROUND(($F1192-$E1192)*1440,0),"")</f>
        <v/>
      </c>
      <c r="I1192" s="12">
        <f>IF($G1192="正常",$H1192/60,"")</f>
        <v/>
      </c>
      <c r="J1192" s="13">
        <f>IF($G1192="正常",ROUND($H1192/30,0)/2,"")</f>
        <v/>
      </c>
      <c r="K1192" s="13">
        <f>IF($G1192="正常",MIN($J1192,12),"")</f>
        <v/>
      </c>
      <c r="L1192" s="13">
        <f>IF($G1192="正常",MAX($J1192-12,0),"")</f>
        <v/>
      </c>
    </row>
    <row r="1193">
      <c r="A1193" s="3" t="inlineStr">
        <is>
          <t>陈善芳</t>
        </is>
      </c>
      <c r="B1193" s="3" t="inlineStr">
        <is>
          <t>8/14</t>
        </is>
      </c>
      <c r="C1193" s="3" t="inlineStr">
        <is>
          <t>五</t>
        </is>
      </c>
      <c r="D1193" s="3" t="inlineStr">
        <is>
          <t>08:25 20:54</t>
        </is>
      </c>
      <c r="E1193" s="4" t="n">
        <v>0.3506944444444444</v>
      </c>
      <c r="F1193" s="4" t="n">
        <v>0.8708333333333333</v>
      </c>
      <c r="G1193" s="3">
        <f>IF($E1193="","空卡",IF($F1193="","单卡","正常"))</f>
        <v/>
      </c>
      <c r="H1193" s="5">
        <f>IF($G1193="正常",ROUND(($F1193-$E1193)*1440,0),"")</f>
        <v/>
      </c>
      <c r="I1193" s="6">
        <f>IF($G1193="正常",$H1193/60,"")</f>
        <v/>
      </c>
      <c r="J1193" s="7">
        <f>IF($G1193="正常",ROUND($H1193/30,0)/2,"")</f>
        <v/>
      </c>
      <c r="K1193" s="7">
        <f>IF($G1193="正常",MIN($J1193,12),"")</f>
        <v/>
      </c>
      <c r="L1193" s="7">
        <f>IF($G1193="正常",MAX($J1193-12,0),"")</f>
        <v/>
      </c>
    </row>
    <row r="1194">
      <c r="A1194" s="3" t="inlineStr">
        <is>
          <t>陈善芳</t>
        </is>
      </c>
      <c r="B1194" s="3" t="inlineStr">
        <is>
          <t>8/15</t>
        </is>
      </c>
      <c r="C1194" s="3" t="inlineStr">
        <is>
          <t>六</t>
        </is>
      </c>
      <c r="D1194" s="3" t="inlineStr">
        <is>
          <t>06:54 18:58</t>
        </is>
      </c>
      <c r="E1194" s="4" t="n">
        <v>0.2875</v>
      </c>
      <c r="F1194" s="4" t="n">
        <v>0.7902777777777777</v>
      </c>
      <c r="G1194" s="3">
        <f>IF($E1194="","空卡",IF($F1194="","单卡","正常"))</f>
        <v/>
      </c>
      <c r="H1194" s="5">
        <f>IF($G1194="正常",ROUND(($F1194-$E1194)*1440,0),"")</f>
        <v/>
      </c>
      <c r="I1194" s="6">
        <f>IF($G1194="正常",$H1194/60,"")</f>
        <v/>
      </c>
      <c r="J1194" s="7">
        <f>IF($G1194="正常",ROUND($H1194/30,0)/2,"")</f>
        <v/>
      </c>
      <c r="K1194" s="7">
        <f>IF($G1194="正常",MIN($J1194,12),"")</f>
        <v/>
      </c>
      <c r="L1194" s="7">
        <f>IF($G1194="正常",MAX($J1194-12,0),"")</f>
        <v/>
      </c>
    </row>
    <row r="1195">
      <c r="A1195" s="8" t="inlineStr">
        <is>
          <t>陈善芳</t>
        </is>
      </c>
      <c r="B1195" s="8" t="inlineStr">
        <is>
          <t>8/16</t>
        </is>
      </c>
      <c r="C1195" s="8" t="inlineStr">
        <is>
          <t>日</t>
        </is>
      </c>
      <c r="D1195" s="8" t="inlineStr"/>
      <c r="E1195" s="9" t="n"/>
      <c r="F1195" s="9" t="n"/>
      <c r="G1195" s="10">
        <f>IF($E1195="","空卡",IF($F1195="","单卡","正常"))</f>
        <v/>
      </c>
      <c r="H1195" s="11">
        <f>IF($G1195="正常",ROUND(($F1195-$E1195)*1440,0),"")</f>
        <v/>
      </c>
      <c r="I1195" s="12">
        <f>IF($G1195="正常",$H1195/60,"")</f>
        <v/>
      </c>
      <c r="J1195" s="13">
        <f>IF($G1195="正常",ROUND($H1195/30,0)/2,"")</f>
        <v/>
      </c>
      <c r="K1195" s="13">
        <f>IF($G1195="正常",MIN($J1195,12),"")</f>
        <v/>
      </c>
      <c r="L1195" s="13">
        <f>IF($G1195="正常",MAX($J1195-12,0),"")</f>
        <v/>
      </c>
    </row>
    <row r="1196">
      <c r="A1196" s="8" t="inlineStr">
        <is>
          <t>陈善芳</t>
        </is>
      </c>
      <c r="B1196" s="8" t="inlineStr">
        <is>
          <t>8/17</t>
        </is>
      </c>
      <c r="C1196" s="8" t="inlineStr">
        <is>
          <t>一</t>
        </is>
      </c>
      <c r="D1196" s="8" t="inlineStr"/>
      <c r="E1196" s="9" t="n"/>
      <c r="F1196" s="9" t="n"/>
      <c r="G1196" s="10">
        <f>IF($E1196="","空卡",IF($F1196="","单卡","正常"))</f>
        <v/>
      </c>
      <c r="H1196" s="11">
        <f>IF($G1196="正常",ROUND(($F1196-$E1196)*1440,0),"")</f>
        <v/>
      </c>
      <c r="I1196" s="12">
        <f>IF($G1196="正常",$H1196/60,"")</f>
        <v/>
      </c>
      <c r="J1196" s="13">
        <f>IF($G1196="正常",ROUND($H1196/30,0)/2,"")</f>
        <v/>
      </c>
      <c r="K1196" s="13">
        <f>IF($G1196="正常",MIN($J1196,12),"")</f>
        <v/>
      </c>
      <c r="L1196" s="13">
        <f>IF($G1196="正常",MAX($J1196-12,0),"")</f>
        <v/>
      </c>
    </row>
    <row r="1197">
      <c r="A1197" s="3" t="inlineStr">
        <is>
          <t>陈善芳</t>
        </is>
      </c>
      <c r="B1197" s="3" t="inlineStr">
        <is>
          <t>8/18</t>
        </is>
      </c>
      <c r="C1197" s="3" t="inlineStr">
        <is>
          <t>二</t>
        </is>
      </c>
      <c r="D1197" s="3" t="inlineStr">
        <is>
          <t>08:00 18:56</t>
        </is>
      </c>
      <c r="E1197" s="4" t="n">
        <v>0.3333333333333333</v>
      </c>
      <c r="F1197" s="4" t="n">
        <v>0.7888888888888889</v>
      </c>
      <c r="G1197" s="3">
        <f>IF($E1197="","空卡",IF($F1197="","单卡","正常"))</f>
        <v/>
      </c>
      <c r="H1197" s="5">
        <f>IF($G1197="正常",ROUND(($F1197-$E1197)*1440,0),"")</f>
        <v/>
      </c>
      <c r="I1197" s="6">
        <f>IF($G1197="正常",$H1197/60,"")</f>
        <v/>
      </c>
      <c r="J1197" s="7">
        <f>IF($G1197="正常",ROUND($H1197/30,0)/2,"")</f>
        <v/>
      </c>
      <c r="K1197" s="7">
        <f>IF($G1197="正常",MIN($J1197,12),"")</f>
        <v/>
      </c>
      <c r="L1197" s="7">
        <f>IF($G1197="正常",MAX($J1197-12,0),"")</f>
        <v/>
      </c>
    </row>
    <row r="1198">
      <c r="A1198" s="3" t="inlineStr">
        <is>
          <t>陈善芳</t>
        </is>
      </c>
      <c r="B1198" s="3" t="inlineStr">
        <is>
          <t>8/19</t>
        </is>
      </c>
      <c r="C1198" s="3" t="inlineStr">
        <is>
          <t>三</t>
        </is>
      </c>
      <c r="D1198" s="3" t="inlineStr">
        <is>
          <t>07:25 20:30</t>
        </is>
      </c>
      <c r="E1198" s="4" t="n">
        <v>0.3090277777777778</v>
      </c>
      <c r="F1198" s="4" t="n">
        <v>0.8541666666666666</v>
      </c>
      <c r="G1198" s="3">
        <f>IF($E1198="","空卡",IF($F1198="","单卡","正常"))</f>
        <v/>
      </c>
      <c r="H1198" s="5">
        <f>IF($G1198="正常",ROUND(($F1198-$E1198)*1440,0),"")</f>
        <v/>
      </c>
      <c r="I1198" s="6">
        <f>IF($G1198="正常",$H1198/60,"")</f>
        <v/>
      </c>
      <c r="J1198" s="7">
        <f>IF($G1198="正常",ROUND($H1198/30,0)/2,"")</f>
        <v/>
      </c>
      <c r="K1198" s="7">
        <f>IF($G1198="正常",MIN($J1198,12),"")</f>
        <v/>
      </c>
      <c r="L1198" s="7">
        <f>IF($G1198="正常",MAX($J1198-12,0),"")</f>
        <v/>
      </c>
    </row>
    <row r="1199">
      <c r="A1199" s="3" t="inlineStr">
        <is>
          <t>陈善芳</t>
        </is>
      </c>
      <c r="B1199" s="3" t="inlineStr">
        <is>
          <t>8/20</t>
        </is>
      </c>
      <c r="C1199" s="3" t="inlineStr">
        <is>
          <t>四</t>
        </is>
      </c>
      <c r="D1199" s="3" t="inlineStr">
        <is>
          <t>10:21 19:58</t>
        </is>
      </c>
      <c r="E1199" s="4" t="n">
        <v>0.43125</v>
      </c>
      <c r="F1199" s="4" t="n">
        <v>0.8319444444444445</v>
      </c>
      <c r="G1199" s="3">
        <f>IF($E1199="","空卡",IF($F1199="","单卡","正常"))</f>
        <v/>
      </c>
      <c r="H1199" s="5">
        <f>IF($G1199="正常",ROUND(($F1199-$E1199)*1440,0),"")</f>
        <v/>
      </c>
      <c r="I1199" s="6">
        <f>IF($G1199="正常",$H1199/60,"")</f>
        <v/>
      </c>
      <c r="J1199" s="7">
        <f>IF($G1199="正常",ROUND($H1199/30,0)/2,"")</f>
        <v/>
      </c>
      <c r="K1199" s="7">
        <f>IF($G1199="正常",MIN($J1199,12),"")</f>
        <v/>
      </c>
      <c r="L1199" s="7">
        <f>IF($G1199="正常",MAX($J1199-12,0),"")</f>
        <v/>
      </c>
    </row>
    <row r="1200">
      <c r="A1200" s="3" t="inlineStr">
        <is>
          <t>陈善芳</t>
        </is>
      </c>
      <c r="B1200" s="3" t="inlineStr">
        <is>
          <t>8/21</t>
        </is>
      </c>
      <c r="C1200" s="3" t="inlineStr">
        <is>
          <t>五</t>
        </is>
      </c>
      <c r="D1200" s="3" t="inlineStr">
        <is>
          <t>06:56 19:03</t>
        </is>
      </c>
      <c r="E1200" s="4" t="n">
        <v>0.2888888888888889</v>
      </c>
      <c r="F1200" s="4" t="n">
        <v>0.79375</v>
      </c>
      <c r="G1200" s="3">
        <f>IF($E1200="","空卡",IF($F1200="","单卡","正常"))</f>
        <v/>
      </c>
      <c r="H1200" s="5">
        <f>IF($G1200="正常",ROUND(($F1200-$E1200)*1440,0),"")</f>
        <v/>
      </c>
      <c r="I1200" s="6">
        <f>IF($G1200="正常",$H1200/60,"")</f>
        <v/>
      </c>
      <c r="J1200" s="7">
        <f>IF($G1200="正常",ROUND($H1200/30,0)/2,"")</f>
        <v/>
      </c>
      <c r="K1200" s="7">
        <f>IF($G1200="正常",MIN($J1200,12),"")</f>
        <v/>
      </c>
      <c r="L1200" s="7">
        <f>IF($G1200="正常",MAX($J1200-12,0),"")</f>
        <v/>
      </c>
    </row>
    <row r="1201">
      <c r="A1201" s="3" t="inlineStr">
        <is>
          <t>陈善芳</t>
        </is>
      </c>
      <c r="B1201" s="3" t="inlineStr">
        <is>
          <t>8/22</t>
        </is>
      </c>
      <c r="C1201" s="3" t="inlineStr">
        <is>
          <t>六</t>
        </is>
      </c>
      <c r="D1201" s="3" t="inlineStr">
        <is>
          <t>06:53 18:32</t>
        </is>
      </c>
      <c r="E1201" s="4" t="n">
        <v>0.2868055555555555</v>
      </c>
      <c r="F1201" s="4" t="n">
        <v>0.7722222222222223</v>
      </c>
      <c r="G1201" s="3">
        <f>IF($E1201="","空卡",IF($F1201="","单卡","正常"))</f>
        <v/>
      </c>
      <c r="H1201" s="5">
        <f>IF($G1201="正常",ROUND(($F1201-$E1201)*1440,0),"")</f>
        <v/>
      </c>
      <c r="I1201" s="6">
        <f>IF($G1201="正常",$H1201/60,"")</f>
        <v/>
      </c>
      <c r="J1201" s="7">
        <f>IF($G1201="正常",ROUND($H1201/30,0)/2,"")</f>
        <v/>
      </c>
      <c r="K1201" s="7">
        <f>IF($G1201="正常",MIN($J1201,12),"")</f>
        <v/>
      </c>
      <c r="L1201" s="7">
        <f>IF($G1201="正常",MAX($J1201-12,0),"")</f>
        <v/>
      </c>
    </row>
    <row r="1202">
      <c r="A1202" s="8" t="inlineStr">
        <is>
          <t>陈善芳</t>
        </is>
      </c>
      <c r="B1202" s="8" t="inlineStr">
        <is>
          <t>8/23</t>
        </is>
      </c>
      <c r="C1202" s="8" t="inlineStr">
        <is>
          <t>日</t>
        </is>
      </c>
      <c r="D1202" s="8" t="inlineStr"/>
      <c r="E1202" s="9" t="n"/>
      <c r="F1202" s="9" t="n"/>
      <c r="G1202" s="10">
        <f>IF($E1202="","空卡",IF($F1202="","单卡","正常"))</f>
        <v/>
      </c>
      <c r="H1202" s="11">
        <f>IF($G1202="正常",ROUND(($F1202-$E1202)*1440,0),"")</f>
        <v/>
      </c>
      <c r="I1202" s="12">
        <f>IF($G1202="正常",$H1202/60,"")</f>
        <v/>
      </c>
      <c r="J1202" s="13">
        <f>IF($G1202="正常",ROUND($H1202/30,0)/2,"")</f>
        <v/>
      </c>
      <c r="K1202" s="13">
        <f>IF($G1202="正常",MIN($J1202,12),"")</f>
        <v/>
      </c>
      <c r="L1202" s="13">
        <f>IF($G1202="正常",MAX($J1202-12,0),"")</f>
        <v/>
      </c>
    </row>
    <row r="1203">
      <c r="A1203" s="3" t="inlineStr">
        <is>
          <t>陈善芳</t>
        </is>
      </c>
      <c r="B1203" s="3" t="inlineStr">
        <is>
          <t>8/24</t>
        </is>
      </c>
      <c r="C1203" s="3" t="inlineStr">
        <is>
          <t>一</t>
        </is>
      </c>
      <c r="D1203" s="3" t="inlineStr">
        <is>
          <t>06:56 16:37</t>
        </is>
      </c>
      <c r="E1203" s="4" t="n">
        <v>0.2888888888888889</v>
      </c>
      <c r="F1203" s="4" t="n">
        <v>0.6923611111111111</v>
      </c>
      <c r="G1203" s="3">
        <f>IF($E1203="","空卡",IF($F1203="","单卡","正常"))</f>
        <v/>
      </c>
      <c r="H1203" s="5">
        <f>IF($G1203="正常",ROUND(($F1203-$E1203)*1440,0),"")</f>
        <v/>
      </c>
      <c r="I1203" s="6">
        <f>IF($G1203="正常",$H1203/60,"")</f>
        <v/>
      </c>
      <c r="J1203" s="7">
        <f>IF($G1203="正常",ROUND($H1203/30,0)/2,"")</f>
        <v/>
      </c>
      <c r="K1203" s="7">
        <f>IF($G1203="正常",MIN($J1203,12),"")</f>
        <v/>
      </c>
      <c r="L1203" s="7">
        <f>IF($G1203="正常",MAX($J1203-12,0),"")</f>
        <v/>
      </c>
    </row>
    <row r="1204">
      <c r="A1204" s="8" t="inlineStr">
        <is>
          <t>陈善芳</t>
        </is>
      </c>
      <c r="B1204" s="8" t="inlineStr">
        <is>
          <t>8/25</t>
        </is>
      </c>
      <c r="C1204" s="8" t="inlineStr">
        <is>
          <t>二</t>
        </is>
      </c>
      <c r="D1204" s="8" t="inlineStr"/>
      <c r="E1204" s="9" t="n"/>
      <c r="F1204" s="9" t="n"/>
      <c r="G1204" s="10">
        <f>IF($E1204="","空卡",IF($F1204="","单卡","正常"))</f>
        <v/>
      </c>
      <c r="H1204" s="11">
        <f>IF($G1204="正常",ROUND(($F1204-$E1204)*1440,0),"")</f>
        <v/>
      </c>
      <c r="I1204" s="12">
        <f>IF($G1204="正常",$H1204/60,"")</f>
        <v/>
      </c>
      <c r="J1204" s="13">
        <f>IF($G1204="正常",ROUND($H1204/30,0)/2,"")</f>
        <v/>
      </c>
      <c r="K1204" s="13">
        <f>IF($G1204="正常",MIN($J1204,12),"")</f>
        <v/>
      </c>
      <c r="L1204" s="13">
        <f>IF($G1204="正常",MAX($J1204-12,0),"")</f>
        <v/>
      </c>
    </row>
    <row r="1205">
      <c r="A1205" s="3" t="inlineStr">
        <is>
          <t>陈善芳</t>
        </is>
      </c>
      <c r="B1205" s="3" t="inlineStr">
        <is>
          <t>8/26</t>
        </is>
      </c>
      <c r="C1205" s="3" t="inlineStr">
        <is>
          <t>三</t>
        </is>
      </c>
      <c r="D1205" s="3" t="inlineStr">
        <is>
          <t>07:53 19:05</t>
        </is>
      </c>
      <c r="E1205" s="4" t="n">
        <v>0.3284722222222222</v>
      </c>
      <c r="F1205" s="4" t="n">
        <v>0.7951388888888888</v>
      </c>
      <c r="G1205" s="3">
        <f>IF($E1205="","空卡",IF($F1205="","单卡","正常"))</f>
        <v/>
      </c>
      <c r="H1205" s="5">
        <f>IF($G1205="正常",ROUND(($F1205-$E1205)*1440,0),"")</f>
        <v/>
      </c>
      <c r="I1205" s="6">
        <f>IF($G1205="正常",$H1205/60,"")</f>
        <v/>
      </c>
      <c r="J1205" s="7">
        <f>IF($G1205="正常",ROUND($H1205/30,0)/2,"")</f>
        <v/>
      </c>
      <c r="K1205" s="7">
        <f>IF($G1205="正常",MIN($J1205,12),"")</f>
        <v/>
      </c>
      <c r="L1205" s="7">
        <f>IF($G1205="正常",MAX($J1205-12,0),"")</f>
        <v/>
      </c>
    </row>
    <row r="1206">
      <c r="A1206" s="3" t="inlineStr">
        <is>
          <t>陈善芳</t>
        </is>
      </c>
      <c r="B1206" s="3" t="inlineStr">
        <is>
          <t>8/27</t>
        </is>
      </c>
      <c r="C1206" s="3" t="inlineStr">
        <is>
          <t>四</t>
        </is>
      </c>
      <c r="D1206" s="3" t="inlineStr">
        <is>
          <t>07:53 19:03</t>
        </is>
      </c>
      <c r="E1206" s="4" t="n">
        <v>0.3284722222222222</v>
      </c>
      <c r="F1206" s="4" t="n">
        <v>0.79375</v>
      </c>
      <c r="G1206" s="3">
        <f>IF($E1206="","空卡",IF($F1206="","单卡","正常"))</f>
        <v/>
      </c>
      <c r="H1206" s="5">
        <f>IF($G1206="正常",ROUND(($F1206-$E1206)*1440,0),"")</f>
        <v/>
      </c>
      <c r="I1206" s="6">
        <f>IF($G1206="正常",$H1206/60,"")</f>
        <v/>
      </c>
      <c r="J1206" s="7">
        <f>IF($G1206="正常",ROUND($H1206/30,0)/2,"")</f>
        <v/>
      </c>
      <c r="K1206" s="7">
        <f>IF($G1206="正常",MIN($J1206,12),"")</f>
        <v/>
      </c>
      <c r="L1206" s="7">
        <f>IF($G1206="正常",MAX($J1206-12,0),"")</f>
        <v/>
      </c>
    </row>
    <row r="1207">
      <c r="A1207" s="3" t="inlineStr">
        <is>
          <t>陈善芳</t>
        </is>
      </c>
      <c r="B1207" s="3" t="inlineStr">
        <is>
          <t>8/28</t>
        </is>
      </c>
      <c r="C1207" s="3" t="inlineStr">
        <is>
          <t>五</t>
        </is>
      </c>
      <c r="D1207" s="3" t="inlineStr">
        <is>
          <t>07:55 18:29</t>
        </is>
      </c>
      <c r="E1207" s="4" t="n">
        <v>0.3298611111111111</v>
      </c>
      <c r="F1207" s="4" t="n">
        <v>0.7701388888888889</v>
      </c>
      <c r="G1207" s="3">
        <f>IF($E1207="","空卡",IF($F1207="","单卡","正常"))</f>
        <v/>
      </c>
      <c r="H1207" s="5">
        <f>IF($G1207="正常",ROUND(($F1207-$E1207)*1440,0),"")</f>
        <v/>
      </c>
      <c r="I1207" s="6">
        <f>IF($G1207="正常",$H1207/60,"")</f>
        <v/>
      </c>
      <c r="J1207" s="7">
        <f>IF($G1207="正常",ROUND($H1207/30,0)/2,"")</f>
        <v/>
      </c>
      <c r="K1207" s="7">
        <f>IF($G1207="正常",MIN($J1207,12),"")</f>
        <v/>
      </c>
      <c r="L1207" s="7">
        <f>IF($G1207="正常",MAX($J1207-12,0),"")</f>
        <v/>
      </c>
    </row>
    <row r="1208">
      <c r="A1208" s="3" t="inlineStr">
        <is>
          <t>陈善芳</t>
        </is>
      </c>
      <c r="B1208" s="3" t="inlineStr">
        <is>
          <t>8/29</t>
        </is>
      </c>
      <c r="C1208" s="3" t="inlineStr">
        <is>
          <t>六</t>
        </is>
      </c>
      <c r="D1208" s="3" t="inlineStr">
        <is>
          <t>07:54 21:59</t>
        </is>
      </c>
      <c r="E1208" s="4" t="n">
        <v>0.3291666666666667</v>
      </c>
      <c r="F1208" s="4" t="n">
        <v>0.9159722222222222</v>
      </c>
      <c r="G1208" s="3">
        <f>IF($E1208="","空卡",IF($F1208="","单卡","正常"))</f>
        <v/>
      </c>
      <c r="H1208" s="5">
        <f>IF($G1208="正常",ROUND(($F1208-$E1208)*1440,0),"")</f>
        <v/>
      </c>
      <c r="I1208" s="6">
        <f>IF($G1208="正常",$H1208/60,"")</f>
        <v/>
      </c>
      <c r="J1208" s="7">
        <f>IF($G1208="正常",ROUND($H1208/30,0)/2,"")</f>
        <v/>
      </c>
      <c r="K1208" s="7">
        <f>IF($G1208="正常",MIN($J1208,12),"")</f>
        <v/>
      </c>
      <c r="L1208" s="7">
        <f>IF($G1208="正常",MAX($J1208-12,0),"")</f>
        <v/>
      </c>
    </row>
    <row r="1209">
      <c r="A1209" s="3" t="inlineStr">
        <is>
          <t>陈善芳</t>
        </is>
      </c>
      <c r="B1209" s="3" t="inlineStr">
        <is>
          <t>8/30</t>
        </is>
      </c>
      <c r="C1209" s="3" t="inlineStr">
        <is>
          <t>日</t>
        </is>
      </c>
      <c r="D1209" s="3" t="inlineStr">
        <is>
          <t>07:55 18:41</t>
        </is>
      </c>
      <c r="E1209" s="4" t="n">
        <v>0.3298611111111111</v>
      </c>
      <c r="F1209" s="4" t="n">
        <v>0.7784722222222222</v>
      </c>
      <c r="G1209" s="3">
        <f>IF($E1209="","空卡",IF($F1209="","单卡","正常"))</f>
        <v/>
      </c>
      <c r="H1209" s="5">
        <f>IF($G1209="正常",ROUND(($F1209-$E1209)*1440,0),"")</f>
        <v/>
      </c>
      <c r="I1209" s="6">
        <f>IF($G1209="正常",$H1209/60,"")</f>
        <v/>
      </c>
      <c r="J1209" s="7">
        <f>IF($G1209="正常",ROUND($H1209/30,0)/2,"")</f>
        <v/>
      </c>
      <c r="K1209" s="7">
        <f>IF($G1209="正常",MIN($J1209,12),"")</f>
        <v/>
      </c>
      <c r="L1209" s="7">
        <f>IF($G1209="正常",MAX($J1209-12,0),"")</f>
        <v/>
      </c>
    </row>
    <row r="1210">
      <c r="A1210" s="8" t="inlineStr">
        <is>
          <t>陈善芳</t>
        </is>
      </c>
      <c r="B1210" s="8" t="inlineStr">
        <is>
          <t>8/31</t>
        </is>
      </c>
      <c r="C1210" s="8" t="inlineStr">
        <is>
          <t>一</t>
        </is>
      </c>
      <c r="D1210" s="8" t="inlineStr"/>
      <c r="E1210" s="9" t="n"/>
      <c r="F1210" s="9" t="n"/>
      <c r="G1210" s="10">
        <f>IF($E1210="","空卡",IF($F1210="","单卡","正常"))</f>
        <v/>
      </c>
      <c r="H1210" s="11">
        <f>IF($G1210="正常",ROUND(($F1210-$E1210)*1440,0),"")</f>
        <v/>
      </c>
      <c r="I1210" s="12">
        <f>IF($G1210="正常",$H1210/60,"")</f>
        <v/>
      </c>
      <c r="J1210" s="13">
        <f>IF($G1210="正常",ROUND($H1210/30,0)/2,"")</f>
        <v/>
      </c>
      <c r="K1210" s="13">
        <f>IF($G1210="正常",MIN($J1210,12),"")</f>
        <v/>
      </c>
      <c r="L1210" s="13">
        <f>IF($G1210="正常",MAX($J1210-12,0),"")</f>
        <v/>
      </c>
    </row>
    <row r="1211">
      <c r="A1211" s="3" t="inlineStr">
        <is>
          <t>钟富菊</t>
        </is>
      </c>
      <c r="B1211" s="3" t="inlineStr">
        <is>
          <t>8/1</t>
        </is>
      </c>
      <c r="C1211" s="3" t="inlineStr">
        <is>
          <t>六</t>
        </is>
      </c>
      <c r="D1211" s="3" t="inlineStr">
        <is>
          <t>07:58 17:01</t>
        </is>
      </c>
      <c r="E1211" s="4" t="n">
        <v>0.3319444444444444</v>
      </c>
      <c r="F1211" s="4" t="n">
        <v>0.7090277777777778</v>
      </c>
      <c r="G1211" s="3">
        <f>IF($E1211="","空卡",IF($F1211="","单卡","正常"))</f>
        <v/>
      </c>
      <c r="H1211" s="5">
        <f>IF($G1211="正常",ROUND(($F1211-$E1211)*1440,0),"")</f>
        <v/>
      </c>
      <c r="I1211" s="6">
        <f>IF($G1211="正常",$H1211/60,"")</f>
        <v/>
      </c>
      <c r="J1211" s="7">
        <f>IF($G1211="正常",ROUND($H1211/30,0)/2,"")</f>
        <v/>
      </c>
      <c r="K1211" s="7">
        <f>IF($G1211="正常",MIN($J1211,12),"")</f>
        <v/>
      </c>
      <c r="L1211" s="7">
        <f>IF($G1211="正常",MAX($J1211-12,0),"")</f>
        <v/>
      </c>
    </row>
    <row r="1212">
      <c r="A1212" s="3" t="inlineStr">
        <is>
          <t>钟富菊</t>
        </is>
      </c>
      <c r="B1212" s="3" t="inlineStr">
        <is>
          <t>8/2</t>
        </is>
      </c>
      <c r="C1212" s="3" t="inlineStr">
        <is>
          <t>日</t>
        </is>
      </c>
      <c r="D1212" s="3" t="inlineStr">
        <is>
          <t>07:56 14:59</t>
        </is>
      </c>
      <c r="E1212" s="4" t="n">
        <v>0.3305555555555555</v>
      </c>
      <c r="F1212" s="4" t="n">
        <v>0.6243055555555556</v>
      </c>
      <c r="G1212" s="3">
        <f>IF($E1212="","空卡",IF($F1212="","单卡","正常"))</f>
        <v/>
      </c>
      <c r="H1212" s="5">
        <f>IF($G1212="正常",ROUND(($F1212-$E1212)*1440,0),"")</f>
        <v/>
      </c>
      <c r="I1212" s="6">
        <f>IF($G1212="正常",$H1212/60,"")</f>
        <v/>
      </c>
      <c r="J1212" s="7">
        <f>IF($G1212="正常",ROUND($H1212/30,0)/2,"")</f>
        <v/>
      </c>
      <c r="K1212" s="7">
        <f>IF($G1212="正常",MIN($J1212,12),"")</f>
        <v/>
      </c>
      <c r="L1212" s="7">
        <f>IF($G1212="正常",MAX($J1212-12,0),"")</f>
        <v/>
      </c>
    </row>
    <row r="1213">
      <c r="A1213" s="3" t="inlineStr">
        <is>
          <t>钟富菊</t>
        </is>
      </c>
      <c r="B1213" s="3" t="inlineStr">
        <is>
          <t>8/3</t>
        </is>
      </c>
      <c r="C1213" s="3" t="inlineStr">
        <is>
          <t>一</t>
        </is>
      </c>
      <c r="D1213" s="3" t="inlineStr">
        <is>
          <t>08:27 08:28 15:31</t>
        </is>
      </c>
      <c r="E1213" s="4" t="n">
        <v>0.3520833333333334</v>
      </c>
      <c r="F1213" s="4" t="n">
        <v>0.6465277777777778</v>
      </c>
      <c r="G1213" s="3">
        <f>IF($E1213="","空卡",IF($F1213="","单卡","正常"))</f>
        <v/>
      </c>
      <c r="H1213" s="5">
        <f>IF($G1213="正常",ROUND(($F1213-$E1213)*1440,0),"")</f>
        <v/>
      </c>
      <c r="I1213" s="6">
        <f>IF($G1213="正常",$H1213/60,"")</f>
        <v/>
      </c>
      <c r="J1213" s="7">
        <f>IF($G1213="正常",ROUND($H1213/30,0)/2,"")</f>
        <v/>
      </c>
      <c r="K1213" s="7">
        <f>IF($G1213="正常",MIN($J1213,12),"")</f>
        <v/>
      </c>
      <c r="L1213" s="7">
        <f>IF($G1213="正常",MAX($J1213-12,0),"")</f>
        <v/>
      </c>
    </row>
    <row r="1214">
      <c r="A1214" s="3" t="inlineStr">
        <is>
          <t>钟富菊</t>
        </is>
      </c>
      <c r="B1214" s="3" t="inlineStr">
        <is>
          <t>8/4</t>
        </is>
      </c>
      <c r="C1214" s="3" t="inlineStr">
        <is>
          <t>二</t>
        </is>
      </c>
      <c r="D1214" s="3" t="inlineStr">
        <is>
          <t>07:47 20:33</t>
        </is>
      </c>
      <c r="E1214" s="4" t="n">
        <v>0.3243055555555556</v>
      </c>
      <c r="F1214" s="4" t="n">
        <v>0.85625</v>
      </c>
      <c r="G1214" s="3">
        <f>IF($E1214="","空卡",IF($F1214="","单卡","正常"))</f>
        <v/>
      </c>
      <c r="H1214" s="5">
        <f>IF($G1214="正常",ROUND(($F1214-$E1214)*1440,0),"")</f>
        <v/>
      </c>
      <c r="I1214" s="6">
        <f>IF($G1214="正常",$H1214/60,"")</f>
        <v/>
      </c>
      <c r="J1214" s="7">
        <f>IF($G1214="正常",ROUND($H1214/30,0)/2,"")</f>
        <v/>
      </c>
      <c r="K1214" s="7">
        <f>IF($G1214="正常",MIN($J1214,12),"")</f>
        <v/>
      </c>
      <c r="L1214" s="7">
        <f>IF($G1214="正常",MAX($J1214-12,0),"")</f>
        <v/>
      </c>
    </row>
    <row r="1215">
      <c r="A1215" s="3" t="inlineStr">
        <is>
          <t>钟富菊</t>
        </is>
      </c>
      <c r="B1215" s="3" t="inlineStr">
        <is>
          <t>8/5</t>
        </is>
      </c>
      <c r="C1215" s="3" t="inlineStr">
        <is>
          <t>三</t>
        </is>
      </c>
      <c r="D1215" s="3" t="inlineStr">
        <is>
          <t>09:53 10:03 19:55</t>
        </is>
      </c>
      <c r="E1215" s="4" t="n">
        <v>0.4118055555555555</v>
      </c>
      <c r="F1215" s="4" t="n">
        <v>0.8298611111111112</v>
      </c>
      <c r="G1215" s="3">
        <f>IF($E1215="","空卡",IF($F1215="","单卡","正常"))</f>
        <v/>
      </c>
      <c r="H1215" s="5">
        <f>IF($G1215="正常",ROUND(($F1215-$E1215)*1440,0),"")</f>
        <v/>
      </c>
      <c r="I1215" s="6">
        <f>IF($G1215="正常",$H1215/60,"")</f>
        <v/>
      </c>
      <c r="J1215" s="7">
        <f>IF($G1215="正常",ROUND($H1215/30,0)/2,"")</f>
        <v/>
      </c>
      <c r="K1215" s="7">
        <f>IF($G1215="正常",MIN($J1215,12),"")</f>
        <v/>
      </c>
      <c r="L1215" s="7">
        <f>IF($G1215="正常",MAX($J1215-12,0),"")</f>
        <v/>
      </c>
    </row>
    <row r="1216">
      <c r="A1216" s="3" t="inlineStr">
        <is>
          <t>钟富菊</t>
        </is>
      </c>
      <c r="B1216" s="3" t="inlineStr">
        <is>
          <t>8/6</t>
        </is>
      </c>
      <c r="C1216" s="3" t="inlineStr">
        <is>
          <t>四</t>
        </is>
      </c>
      <c r="D1216" s="3" t="inlineStr">
        <is>
          <t>08:48 19:03</t>
        </is>
      </c>
      <c r="E1216" s="4" t="n">
        <v>0.3666666666666666</v>
      </c>
      <c r="F1216" s="4" t="n">
        <v>0.79375</v>
      </c>
      <c r="G1216" s="3">
        <f>IF($E1216="","空卡",IF($F1216="","单卡","正常"))</f>
        <v/>
      </c>
      <c r="H1216" s="5">
        <f>IF($G1216="正常",ROUND(($F1216-$E1216)*1440,0),"")</f>
        <v/>
      </c>
      <c r="I1216" s="6">
        <f>IF($G1216="正常",$H1216/60,"")</f>
        <v/>
      </c>
      <c r="J1216" s="7">
        <f>IF($G1216="正常",ROUND($H1216/30,0)/2,"")</f>
        <v/>
      </c>
      <c r="K1216" s="7">
        <f>IF($G1216="正常",MIN($J1216,12),"")</f>
        <v/>
      </c>
      <c r="L1216" s="7">
        <f>IF($G1216="正常",MAX($J1216-12,0),"")</f>
        <v/>
      </c>
    </row>
    <row r="1217">
      <c r="A1217" s="3" t="inlineStr">
        <is>
          <t>钟富菊</t>
        </is>
      </c>
      <c r="B1217" s="3" t="inlineStr">
        <is>
          <t>8/7</t>
        </is>
      </c>
      <c r="C1217" s="3" t="inlineStr">
        <is>
          <t>五</t>
        </is>
      </c>
      <c r="D1217" s="3" t="inlineStr">
        <is>
          <t>07:54 20:01</t>
        </is>
      </c>
      <c r="E1217" s="4" t="n">
        <v>0.3291666666666667</v>
      </c>
      <c r="F1217" s="4" t="n">
        <v>0.8340277777777778</v>
      </c>
      <c r="G1217" s="3">
        <f>IF($E1217="","空卡",IF($F1217="","单卡","正常"))</f>
        <v/>
      </c>
      <c r="H1217" s="5">
        <f>IF($G1217="正常",ROUND(($F1217-$E1217)*1440,0),"")</f>
        <v/>
      </c>
      <c r="I1217" s="6">
        <f>IF($G1217="正常",$H1217/60,"")</f>
        <v/>
      </c>
      <c r="J1217" s="7">
        <f>IF($G1217="正常",ROUND($H1217/30,0)/2,"")</f>
        <v/>
      </c>
      <c r="K1217" s="7">
        <f>IF($G1217="正常",MIN($J1217,12),"")</f>
        <v/>
      </c>
      <c r="L1217" s="7">
        <f>IF($G1217="正常",MAX($J1217-12,0),"")</f>
        <v/>
      </c>
    </row>
    <row r="1218">
      <c r="A1218" s="3" t="inlineStr">
        <is>
          <t>钟富菊</t>
        </is>
      </c>
      <c r="B1218" s="3" t="inlineStr">
        <is>
          <t>8/8</t>
        </is>
      </c>
      <c r="C1218" s="3" t="inlineStr">
        <is>
          <t>六</t>
        </is>
      </c>
      <c r="D1218" s="3" t="inlineStr">
        <is>
          <t>08:19 19:38</t>
        </is>
      </c>
      <c r="E1218" s="4" t="n">
        <v>0.3465277777777778</v>
      </c>
      <c r="F1218" s="4" t="n">
        <v>0.8180555555555555</v>
      </c>
      <c r="G1218" s="3">
        <f>IF($E1218="","空卡",IF($F1218="","单卡","正常"))</f>
        <v/>
      </c>
      <c r="H1218" s="5">
        <f>IF($G1218="正常",ROUND(($F1218-$E1218)*1440,0),"")</f>
        <v/>
      </c>
      <c r="I1218" s="6">
        <f>IF($G1218="正常",$H1218/60,"")</f>
        <v/>
      </c>
      <c r="J1218" s="7">
        <f>IF($G1218="正常",ROUND($H1218/30,0)/2,"")</f>
        <v/>
      </c>
      <c r="K1218" s="7">
        <f>IF($G1218="正常",MIN($J1218,12),"")</f>
        <v/>
      </c>
      <c r="L1218" s="7">
        <f>IF($G1218="正常",MAX($J1218-12,0),"")</f>
        <v/>
      </c>
    </row>
    <row r="1219">
      <c r="A1219" s="8" t="inlineStr">
        <is>
          <t>钟富菊</t>
        </is>
      </c>
      <c r="B1219" s="8" t="inlineStr">
        <is>
          <t>8/9</t>
        </is>
      </c>
      <c r="C1219" s="8" t="inlineStr">
        <is>
          <t>日</t>
        </is>
      </c>
      <c r="D1219" s="8" t="inlineStr"/>
      <c r="E1219" s="9" t="n"/>
      <c r="F1219" s="9" t="n"/>
      <c r="G1219" s="10">
        <f>IF($E1219="","空卡",IF($F1219="","单卡","正常"))</f>
        <v/>
      </c>
      <c r="H1219" s="11">
        <f>IF($G1219="正常",ROUND(($F1219-$E1219)*1440,0),"")</f>
        <v/>
      </c>
      <c r="I1219" s="12">
        <f>IF($G1219="正常",$H1219/60,"")</f>
        <v/>
      </c>
      <c r="J1219" s="13">
        <f>IF($G1219="正常",ROUND($H1219/30,0)/2,"")</f>
        <v/>
      </c>
      <c r="K1219" s="13">
        <f>IF($G1219="正常",MIN($J1219,12),"")</f>
        <v/>
      </c>
      <c r="L1219" s="13">
        <f>IF($G1219="正常",MAX($J1219-12,0),"")</f>
        <v/>
      </c>
    </row>
    <row r="1220">
      <c r="A1220" s="3" t="inlineStr">
        <is>
          <t>钟富菊</t>
        </is>
      </c>
      <c r="B1220" s="3" t="inlineStr">
        <is>
          <t>8/10</t>
        </is>
      </c>
      <c r="C1220" s="3" t="inlineStr">
        <is>
          <t>一</t>
        </is>
      </c>
      <c r="D1220" s="3" t="inlineStr">
        <is>
          <t>08:21 19:55</t>
        </is>
      </c>
      <c r="E1220" s="4" t="n">
        <v>0.3479166666666667</v>
      </c>
      <c r="F1220" s="4" t="n">
        <v>0.8298611111111112</v>
      </c>
      <c r="G1220" s="3">
        <f>IF($E1220="","空卡",IF($F1220="","单卡","正常"))</f>
        <v/>
      </c>
      <c r="H1220" s="5">
        <f>IF($G1220="正常",ROUND(($F1220-$E1220)*1440,0),"")</f>
        <v/>
      </c>
      <c r="I1220" s="6">
        <f>IF($G1220="正常",$H1220/60,"")</f>
        <v/>
      </c>
      <c r="J1220" s="7">
        <f>IF($G1220="正常",ROUND($H1220/30,0)/2,"")</f>
        <v/>
      </c>
      <c r="K1220" s="7">
        <f>IF($G1220="正常",MIN($J1220,12),"")</f>
        <v/>
      </c>
      <c r="L1220" s="7">
        <f>IF($G1220="正常",MAX($J1220-12,0),"")</f>
        <v/>
      </c>
    </row>
    <row r="1221">
      <c r="A1221" s="3" t="inlineStr">
        <is>
          <t>钟富菊</t>
        </is>
      </c>
      <c r="B1221" s="3" t="inlineStr">
        <is>
          <t>8/11</t>
        </is>
      </c>
      <c r="C1221" s="3" t="inlineStr">
        <is>
          <t>二</t>
        </is>
      </c>
      <c r="D1221" s="3" t="inlineStr">
        <is>
          <t>08:24 08:27 18:07</t>
        </is>
      </c>
      <c r="E1221" s="4" t="n">
        <v>0.35</v>
      </c>
      <c r="F1221" s="4" t="n">
        <v>0.7548611111111111</v>
      </c>
      <c r="G1221" s="3">
        <f>IF($E1221="","空卡",IF($F1221="","单卡","正常"))</f>
        <v/>
      </c>
      <c r="H1221" s="5">
        <f>IF($G1221="正常",ROUND(($F1221-$E1221)*1440,0),"")</f>
        <v/>
      </c>
      <c r="I1221" s="6">
        <f>IF($G1221="正常",$H1221/60,"")</f>
        <v/>
      </c>
      <c r="J1221" s="7">
        <f>IF($G1221="正常",ROUND($H1221/30,0)/2,"")</f>
        <v/>
      </c>
      <c r="K1221" s="7">
        <f>IF($G1221="正常",MIN($J1221,12),"")</f>
        <v/>
      </c>
      <c r="L1221" s="7">
        <f>IF($G1221="正常",MAX($J1221-12,0),"")</f>
        <v/>
      </c>
    </row>
    <row r="1222">
      <c r="A1222" s="3" t="inlineStr">
        <is>
          <t>钟富菊</t>
        </is>
      </c>
      <c r="B1222" s="3" t="inlineStr">
        <is>
          <t>8/12</t>
        </is>
      </c>
      <c r="C1222" s="3" t="inlineStr">
        <is>
          <t>三</t>
        </is>
      </c>
      <c r="D1222" s="3" t="inlineStr">
        <is>
          <t>08:20 18:36</t>
        </is>
      </c>
      <c r="E1222" s="4" t="n">
        <v>0.3472222222222222</v>
      </c>
      <c r="F1222" s="4" t="n">
        <v>0.775</v>
      </c>
      <c r="G1222" s="3">
        <f>IF($E1222="","空卡",IF($F1222="","单卡","正常"))</f>
        <v/>
      </c>
      <c r="H1222" s="5">
        <f>IF($G1222="正常",ROUND(($F1222-$E1222)*1440,0),"")</f>
        <v/>
      </c>
      <c r="I1222" s="6">
        <f>IF($G1222="正常",$H1222/60,"")</f>
        <v/>
      </c>
      <c r="J1222" s="7">
        <f>IF($G1222="正常",ROUND($H1222/30,0)/2,"")</f>
        <v/>
      </c>
      <c r="K1222" s="7">
        <f>IF($G1222="正常",MIN($J1222,12),"")</f>
        <v/>
      </c>
      <c r="L1222" s="7">
        <f>IF($G1222="正常",MAX($J1222-12,0),"")</f>
        <v/>
      </c>
    </row>
    <row r="1223">
      <c r="A1223" s="3" t="inlineStr">
        <is>
          <t>钟富菊</t>
        </is>
      </c>
      <c r="B1223" s="3" t="inlineStr">
        <is>
          <t>8/13</t>
        </is>
      </c>
      <c r="C1223" s="3" t="inlineStr">
        <is>
          <t>四</t>
        </is>
      </c>
      <c r="D1223" s="3" t="inlineStr">
        <is>
          <t>09:57 19:56</t>
        </is>
      </c>
      <c r="E1223" s="4" t="n">
        <v>0.4145833333333334</v>
      </c>
      <c r="F1223" s="4" t="n">
        <v>0.8305555555555556</v>
      </c>
      <c r="G1223" s="3">
        <f>IF($E1223="","空卡",IF($F1223="","单卡","正常"))</f>
        <v/>
      </c>
      <c r="H1223" s="5">
        <f>IF($G1223="正常",ROUND(($F1223-$E1223)*1440,0),"")</f>
        <v/>
      </c>
      <c r="I1223" s="6">
        <f>IF($G1223="正常",$H1223/60,"")</f>
        <v/>
      </c>
      <c r="J1223" s="7">
        <f>IF($G1223="正常",ROUND($H1223/30,0)/2,"")</f>
        <v/>
      </c>
      <c r="K1223" s="7">
        <f>IF($G1223="正常",MIN($J1223,12),"")</f>
        <v/>
      </c>
      <c r="L1223" s="7">
        <f>IF($G1223="正常",MAX($J1223-12,0),"")</f>
        <v/>
      </c>
    </row>
    <row r="1224">
      <c r="A1224" s="3" t="inlineStr">
        <is>
          <t>钟富菊</t>
        </is>
      </c>
      <c r="B1224" s="3" t="inlineStr">
        <is>
          <t>8/14</t>
        </is>
      </c>
      <c r="C1224" s="3" t="inlineStr">
        <is>
          <t>五</t>
        </is>
      </c>
      <c r="D1224" s="3" t="inlineStr">
        <is>
          <t>06:53 20:57</t>
        </is>
      </c>
      <c r="E1224" s="4" t="n">
        <v>0.2868055555555555</v>
      </c>
      <c r="F1224" s="4" t="n">
        <v>0.8729166666666667</v>
      </c>
      <c r="G1224" s="3">
        <f>IF($E1224="","空卡",IF($F1224="","单卡","正常"))</f>
        <v/>
      </c>
      <c r="H1224" s="5">
        <f>IF($G1224="正常",ROUND(($F1224-$E1224)*1440,0),"")</f>
        <v/>
      </c>
      <c r="I1224" s="6">
        <f>IF($G1224="正常",$H1224/60,"")</f>
        <v/>
      </c>
      <c r="J1224" s="7">
        <f>IF($G1224="正常",ROUND($H1224/30,0)/2,"")</f>
        <v/>
      </c>
      <c r="K1224" s="7">
        <f>IF($G1224="正常",MIN($J1224,12),"")</f>
        <v/>
      </c>
      <c r="L1224" s="7">
        <f>IF($G1224="正常",MAX($J1224-12,0),"")</f>
        <v/>
      </c>
    </row>
    <row r="1225">
      <c r="A1225" s="3" t="inlineStr">
        <is>
          <t>钟富菊</t>
        </is>
      </c>
      <c r="B1225" s="3" t="inlineStr">
        <is>
          <t>8/15</t>
        </is>
      </c>
      <c r="C1225" s="3" t="inlineStr">
        <is>
          <t>六</t>
        </is>
      </c>
      <c r="D1225" s="3" t="inlineStr">
        <is>
          <t>06:57 18:59</t>
        </is>
      </c>
      <c r="E1225" s="4" t="n">
        <v>0.2895833333333334</v>
      </c>
      <c r="F1225" s="4" t="n">
        <v>0.7909722222222222</v>
      </c>
      <c r="G1225" s="3">
        <f>IF($E1225="","空卡",IF($F1225="","单卡","正常"))</f>
        <v/>
      </c>
      <c r="H1225" s="5">
        <f>IF($G1225="正常",ROUND(($F1225-$E1225)*1440,0),"")</f>
        <v/>
      </c>
      <c r="I1225" s="6">
        <f>IF($G1225="正常",$H1225/60,"")</f>
        <v/>
      </c>
      <c r="J1225" s="7">
        <f>IF($G1225="正常",ROUND($H1225/30,0)/2,"")</f>
        <v/>
      </c>
      <c r="K1225" s="7">
        <f>IF($G1225="正常",MIN($J1225,12),"")</f>
        <v/>
      </c>
      <c r="L1225" s="7">
        <f>IF($G1225="正常",MAX($J1225-12,0),"")</f>
        <v/>
      </c>
    </row>
    <row r="1226">
      <c r="A1226" s="8" t="inlineStr">
        <is>
          <t>钟富菊</t>
        </is>
      </c>
      <c r="B1226" s="8" t="inlineStr">
        <is>
          <t>8/16</t>
        </is>
      </c>
      <c r="C1226" s="8" t="inlineStr">
        <is>
          <t>日</t>
        </is>
      </c>
      <c r="D1226" s="8" t="inlineStr"/>
      <c r="E1226" s="9" t="n"/>
      <c r="F1226" s="9" t="n"/>
      <c r="G1226" s="10">
        <f>IF($E1226="","空卡",IF($F1226="","单卡","正常"))</f>
        <v/>
      </c>
      <c r="H1226" s="11">
        <f>IF($G1226="正常",ROUND(($F1226-$E1226)*1440,0),"")</f>
        <v/>
      </c>
      <c r="I1226" s="12">
        <f>IF($G1226="正常",$H1226/60,"")</f>
        <v/>
      </c>
      <c r="J1226" s="13">
        <f>IF($G1226="正常",ROUND($H1226/30,0)/2,"")</f>
        <v/>
      </c>
      <c r="K1226" s="13">
        <f>IF($G1226="正常",MIN($J1226,12),"")</f>
        <v/>
      </c>
      <c r="L1226" s="13">
        <f>IF($G1226="正常",MAX($J1226-12,0),"")</f>
        <v/>
      </c>
    </row>
    <row r="1227">
      <c r="A1227" s="3" t="inlineStr">
        <is>
          <t>钟富菊</t>
        </is>
      </c>
      <c r="B1227" s="3" t="inlineStr">
        <is>
          <t>8/17</t>
        </is>
      </c>
      <c r="C1227" s="3" t="inlineStr">
        <is>
          <t>一</t>
        </is>
      </c>
      <c r="D1227" s="3" t="inlineStr">
        <is>
          <t>07:46 20:00</t>
        </is>
      </c>
      <c r="E1227" s="4" t="n">
        <v>0.3236111111111111</v>
      </c>
      <c r="F1227" s="4" t="n">
        <v>0.8333333333333334</v>
      </c>
      <c r="G1227" s="3">
        <f>IF($E1227="","空卡",IF($F1227="","单卡","正常"))</f>
        <v/>
      </c>
      <c r="H1227" s="5">
        <f>IF($G1227="正常",ROUND(($F1227-$E1227)*1440,0),"")</f>
        <v/>
      </c>
      <c r="I1227" s="6">
        <f>IF($G1227="正常",$H1227/60,"")</f>
        <v/>
      </c>
      <c r="J1227" s="7">
        <f>IF($G1227="正常",ROUND($H1227/30,0)/2,"")</f>
        <v/>
      </c>
      <c r="K1227" s="7">
        <f>IF($G1227="正常",MIN($J1227,12),"")</f>
        <v/>
      </c>
      <c r="L1227" s="7">
        <f>IF($G1227="正常",MAX($J1227-12,0),"")</f>
        <v/>
      </c>
    </row>
    <row r="1228">
      <c r="A1228" s="3" t="inlineStr">
        <is>
          <t>钟富菊</t>
        </is>
      </c>
      <c r="B1228" s="3" t="inlineStr">
        <is>
          <t>8/18</t>
        </is>
      </c>
      <c r="C1228" s="3" t="inlineStr">
        <is>
          <t>二</t>
        </is>
      </c>
      <c r="D1228" s="3" t="inlineStr">
        <is>
          <t>07:52 19:03</t>
        </is>
      </c>
      <c r="E1228" s="4" t="n">
        <v>0.3277777777777778</v>
      </c>
      <c r="F1228" s="4" t="n">
        <v>0.79375</v>
      </c>
      <c r="G1228" s="3">
        <f>IF($E1228="","空卡",IF($F1228="","单卡","正常"))</f>
        <v/>
      </c>
      <c r="H1228" s="5">
        <f>IF($G1228="正常",ROUND(($F1228-$E1228)*1440,0),"")</f>
        <v/>
      </c>
      <c r="I1228" s="6">
        <f>IF($G1228="正常",$H1228/60,"")</f>
        <v/>
      </c>
      <c r="J1228" s="7">
        <f>IF($G1228="正常",ROUND($H1228/30,0)/2,"")</f>
        <v/>
      </c>
      <c r="K1228" s="7">
        <f>IF($G1228="正常",MIN($J1228,12),"")</f>
        <v/>
      </c>
      <c r="L1228" s="7">
        <f>IF($G1228="正常",MAX($J1228-12,0),"")</f>
        <v/>
      </c>
    </row>
    <row r="1229">
      <c r="A1229" s="3" t="inlineStr">
        <is>
          <t>钟富菊</t>
        </is>
      </c>
      <c r="B1229" s="3" t="inlineStr">
        <is>
          <t>8/19</t>
        </is>
      </c>
      <c r="C1229" s="3" t="inlineStr">
        <is>
          <t>三</t>
        </is>
      </c>
      <c r="D1229" s="3" t="inlineStr">
        <is>
          <t>08:58 20:31</t>
        </is>
      </c>
      <c r="E1229" s="4" t="n">
        <v>0.3736111111111111</v>
      </c>
      <c r="F1229" s="4" t="n">
        <v>0.8548611111111111</v>
      </c>
      <c r="G1229" s="3">
        <f>IF($E1229="","空卡",IF($F1229="","单卡","正常"))</f>
        <v/>
      </c>
      <c r="H1229" s="5">
        <f>IF($G1229="正常",ROUND(($F1229-$E1229)*1440,0),"")</f>
        <v/>
      </c>
      <c r="I1229" s="6">
        <f>IF($G1229="正常",$H1229/60,"")</f>
        <v/>
      </c>
      <c r="J1229" s="7">
        <f>IF($G1229="正常",ROUND($H1229/30,0)/2,"")</f>
        <v/>
      </c>
      <c r="K1229" s="7">
        <f>IF($G1229="正常",MIN($J1229,12),"")</f>
        <v/>
      </c>
      <c r="L1229" s="7">
        <f>IF($G1229="正常",MAX($J1229-12,0),"")</f>
        <v/>
      </c>
    </row>
    <row r="1230">
      <c r="A1230" s="3" t="inlineStr">
        <is>
          <t>钟富菊</t>
        </is>
      </c>
      <c r="B1230" s="3" t="inlineStr">
        <is>
          <t>8/20</t>
        </is>
      </c>
      <c r="C1230" s="3" t="inlineStr">
        <is>
          <t>四</t>
        </is>
      </c>
      <c r="D1230" s="3" t="inlineStr">
        <is>
          <t>08:28 20:05</t>
        </is>
      </c>
      <c r="E1230" s="4" t="n">
        <v>0.3527777777777778</v>
      </c>
      <c r="F1230" s="4" t="n">
        <v>0.8368055555555556</v>
      </c>
      <c r="G1230" s="3">
        <f>IF($E1230="","空卡",IF($F1230="","单卡","正常"))</f>
        <v/>
      </c>
      <c r="H1230" s="5">
        <f>IF($G1230="正常",ROUND(($F1230-$E1230)*1440,0),"")</f>
        <v/>
      </c>
      <c r="I1230" s="6">
        <f>IF($G1230="正常",$H1230/60,"")</f>
        <v/>
      </c>
      <c r="J1230" s="7">
        <f>IF($G1230="正常",ROUND($H1230/30,0)/2,"")</f>
        <v/>
      </c>
      <c r="K1230" s="7">
        <f>IF($G1230="正常",MIN($J1230,12),"")</f>
        <v/>
      </c>
      <c r="L1230" s="7">
        <f>IF($G1230="正常",MAX($J1230-12,0),"")</f>
        <v/>
      </c>
    </row>
    <row r="1231">
      <c r="A1231" s="3" t="inlineStr">
        <is>
          <t>钟富菊</t>
        </is>
      </c>
      <c r="B1231" s="3" t="inlineStr">
        <is>
          <t>8/21</t>
        </is>
      </c>
      <c r="C1231" s="3" t="inlineStr">
        <is>
          <t>五</t>
        </is>
      </c>
      <c r="D1231" s="3" t="inlineStr">
        <is>
          <t>06:55 19:02</t>
        </is>
      </c>
      <c r="E1231" s="4" t="n">
        <v>0.2881944444444444</v>
      </c>
      <c r="F1231" s="4" t="n">
        <v>0.7930555555555555</v>
      </c>
      <c r="G1231" s="3">
        <f>IF($E1231="","空卡",IF($F1231="","单卡","正常"))</f>
        <v/>
      </c>
      <c r="H1231" s="5">
        <f>IF($G1231="正常",ROUND(($F1231-$E1231)*1440,0),"")</f>
        <v/>
      </c>
      <c r="I1231" s="6">
        <f>IF($G1231="正常",$H1231/60,"")</f>
        <v/>
      </c>
      <c r="J1231" s="7">
        <f>IF($G1231="正常",ROUND($H1231/30,0)/2,"")</f>
        <v/>
      </c>
      <c r="K1231" s="7">
        <f>IF($G1231="正常",MIN($J1231,12),"")</f>
        <v/>
      </c>
      <c r="L1231" s="7">
        <f>IF($G1231="正常",MAX($J1231-12,0),"")</f>
        <v/>
      </c>
    </row>
    <row r="1232">
      <c r="A1232" s="3" t="inlineStr">
        <is>
          <t>钟富菊</t>
        </is>
      </c>
      <c r="B1232" s="3" t="inlineStr">
        <is>
          <t>8/22</t>
        </is>
      </c>
      <c r="C1232" s="3" t="inlineStr">
        <is>
          <t>六</t>
        </is>
      </c>
      <c r="D1232" s="3" t="inlineStr">
        <is>
          <t>06:57 18:30</t>
        </is>
      </c>
      <c r="E1232" s="4" t="n">
        <v>0.2895833333333334</v>
      </c>
      <c r="F1232" s="4" t="n">
        <v>0.7708333333333334</v>
      </c>
      <c r="G1232" s="3">
        <f>IF($E1232="","空卡",IF($F1232="","单卡","正常"))</f>
        <v/>
      </c>
      <c r="H1232" s="5">
        <f>IF($G1232="正常",ROUND(($F1232-$E1232)*1440,0),"")</f>
        <v/>
      </c>
      <c r="I1232" s="6">
        <f>IF($G1232="正常",$H1232/60,"")</f>
        <v/>
      </c>
      <c r="J1232" s="7">
        <f>IF($G1232="正常",ROUND($H1232/30,0)/2,"")</f>
        <v/>
      </c>
      <c r="K1232" s="7">
        <f>IF($G1232="正常",MIN($J1232,12),"")</f>
        <v/>
      </c>
      <c r="L1232" s="7">
        <f>IF($G1232="正常",MAX($J1232-12,0),"")</f>
        <v/>
      </c>
    </row>
    <row r="1233">
      <c r="A1233" s="8" t="inlineStr">
        <is>
          <t>钟富菊</t>
        </is>
      </c>
      <c r="B1233" s="8" t="inlineStr">
        <is>
          <t>8/23</t>
        </is>
      </c>
      <c r="C1233" s="8" t="inlineStr">
        <is>
          <t>日</t>
        </is>
      </c>
      <c r="D1233" s="8" t="inlineStr"/>
      <c r="E1233" s="9" t="n"/>
      <c r="F1233" s="9" t="n"/>
      <c r="G1233" s="10">
        <f>IF($E1233="","空卡",IF($F1233="","单卡","正常"))</f>
        <v/>
      </c>
      <c r="H1233" s="11">
        <f>IF($G1233="正常",ROUND(($F1233-$E1233)*1440,0),"")</f>
        <v/>
      </c>
      <c r="I1233" s="12">
        <f>IF($G1233="正常",$H1233/60,"")</f>
        <v/>
      </c>
      <c r="J1233" s="13">
        <f>IF($G1233="正常",ROUND($H1233/30,0)/2,"")</f>
        <v/>
      </c>
      <c r="K1233" s="13">
        <f>IF($G1233="正常",MIN($J1233,12),"")</f>
        <v/>
      </c>
      <c r="L1233" s="13">
        <f>IF($G1233="正常",MAX($J1233-12,0),"")</f>
        <v/>
      </c>
    </row>
    <row r="1234">
      <c r="A1234" s="3" t="inlineStr">
        <is>
          <t>钟富菊</t>
        </is>
      </c>
      <c r="B1234" s="3" t="inlineStr">
        <is>
          <t>8/24</t>
        </is>
      </c>
      <c r="C1234" s="3" t="inlineStr">
        <is>
          <t>一</t>
        </is>
      </c>
      <c r="D1234" s="3" t="inlineStr">
        <is>
          <t>06:53 16:37</t>
        </is>
      </c>
      <c r="E1234" s="4" t="n">
        <v>0.2868055555555555</v>
      </c>
      <c r="F1234" s="4" t="n">
        <v>0.6923611111111111</v>
      </c>
      <c r="G1234" s="3">
        <f>IF($E1234="","空卡",IF($F1234="","单卡","正常"))</f>
        <v/>
      </c>
      <c r="H1234" s="5">
        <f>IF($G1234="正常",ROUND(($F1234-$E1234)*1440,0),"")</f>
        <v/>
      </c>
      <c r="I1234" s="6">
        <f>IF($G1234="正常",$H1234/60,"")</f>
        <v/>
      </c>
      <c r="J1234" s="7">
        <f>IF($G1234="正常",ROUND($H1234/30,0)/2,"")</f>
        <v/>
      </c>
      <c r="K1234" s="7">
        <f>IF($G1234="正常",MIN($J1234,12),"")</f>
        <v/>
      </c>
      <c r="L1234" s="7">
        <f>IF($G1234="正常",MAX($J1234-12,0),"")</f>
        <v/>
      </c>
    </row>
    <row r="1235">
      <c r="A1235" s="3" t="inlineStr">
        <is>
          <t>钟富菊</t>
        </is>
      </c>
      <c r="B1235" s="3" t="inlineStr">
        <is>
          <t>8/25</t>
        </is>
      </c>
      <c r="C1235" s="3" t="inlineStr">
        <is>
          <t>二</t>
        </is>
      </c>
      <c r="D1235" s="3" t="inlineStr">
        <is>
          <t>07:56 18:38</t>
        </is>
      </c>
      <c r="E1235" s="4" t="n">
        <v>0.3305555555555555</v>
      </c>
      <c r="F1235" s="4" t="n">
        <v>0.7763888888888889</v>
      </c>
      <c r="G1235" s="3">
        <f>IF($E1235="","空卡",IF($F1235="","单卡","正常"))</f>
        <v/>
      </c>
      <c r="H1235" s="5">
        <f>IF($G1235="正常",ROUND(($F1235-$E1235)*1440,0),"")</f>
        <v/>
      </c>
      <c r="I1235" s="6">
        <f>IF($G1235="正常",$H1235/60,"")</f>
        <v/>
      </c>
      <c r="J1235" s="7">
        <f>IF($G1235="正常",ROUND($H1235/30,0)/2,"")</f>
        <v/>
      </c>
      <c r="K1235" s="7">
        <f>IF($G1235="正常",MIN($J1235,12),"")</f>
        <v/>
      </c>
      <c r="L1235" s="7">
        <f>IF($G1235="正常",MAX($J1235-12,0),"")</f>
        <v/>
      </c>
    </row>
    <row r="1236">
      <c r="A1236" s="3" t="inlineStr">
        <is>
          <t>钟富菊</t>
        </is>
      </c>
      <c r="B1236" s="3" t="inlineStr">
        <is>
          <t>8/26</t>
        </is>
      </c>
      <c r="C1236" s="3" t="inlineStr">
        <is>
          <t>三</t>
        </is>
      </c>
      <c r="D1236" s="3" t="inlineStr">
        <is>
          <t>07:53 18:56</t>
        </is>
      </c>
      <c r="E1236" s="4" t="n">
        <v>0.3284722222222222</v>
      </c>
      <c r="F1236" s="4" t="n">
        <v>0.7888888888888889</v>
      </c>
      <c r="G1236" s="3">
        <f>IF($E1236="","空卡",IF($F1236="","单卡","正常"))</f>
        <v/>
      </c>
      <c r="H1236" s="5">
        <f>IF($G1236="正常",ROUND(($F1236-$E1236)*1440,0),"")</f>
        <v/>
      </c>
      <c r="I1236" s="6">
        <f>IF($G1236="正常",$H1236/60,"")</f>
        <v/>
      </c>
      <c r="J1236" s="7">
        <f>IF($G1236="正常",ROUND($H1236/30,0)/2,"")</f>
        <v/>
      </c>
      <c r="K1236" s="7">
        <f>IF($G1236="正常",MIN($J1236,12),"")</f>
        <v/>
      </c>
      <c r="L1236" s="7">
        <f>IF($G1236="正常",MAX($J1236-12,0),"")</f>
        <v/>
      </c>
    </row>
    <row r="1237">
      <c r="A1237" s="3" t="inlineStr">
        <is>
          <t>钟富菊</t>
        </is>
      </c>
      <c r="B1237" s="3" t="inlineStr">
        <is>
          <t>8/27</t>
        </is>
      </c>
      <c r="C1237" s="3" t="inlineStr">
        <is>
          <t>四</t>
        </is>
      </c>
      <c r="D1237" s="3" t="inlineStr">
        <is>
          <t>07:55 19:58</t>
        </is>
      </c>
      <c r="E1237" s="4" t="n">
        <v>0.3298611111111111</v>
      </c>
      <c r="F1237" s="4" t="n">
        <v>0.8319444444444445</v>
      </c>
      <c r="G1237" s="3">
        <f>IF($E1237="","空卡",IF($F1237="","单卡","正常"))</f>
        <v/>
      </c>
      <c r="H1237" s="5">
        <f>IF($G1237="正常",ROUND(($F1237-$E1237)*1440,0),"")</f>
        <v/>
      </c>
      <c r="I1237" s="6">
        <f>IF($G1237="正常",$H1237/60,"")</f>
        <v/>
      </c>
      <c r="J1237" s="7">
        <f>IF($G1237="正常",ROUND($H1237/30,0)/2,"")</f>
        <v/>
      </c>
      <c r="K1237" s="7">
        <f>IF($G1237="正常",MIN($J1237,12),"")</f>
        <v/>
      </c>
      <c r="L1237" s="7">
        <f>IF($G1237="正常",MAX($J1237-12,0),"")</f>
        <v/>
      </c>
    </row>
    <row r="1238">
      <c r="A1238" s="3" t="inlineStr">
        <is>
          <t>钟富菊</t>
        </is>
      </c>
      <c r="B1238" s="3" t="inlineStr">
        <is>
          <t>8/28</t>
        </is>
      </c>
      <c r="C1238" s="3" t="inlineStr">
        <is>
          <t>五</t>
        </is>
      </c>
      <c r="D1238" s="3" t="inlineStr">
        <is>
          <t>07:55 18:30</t>
        </is>
      </c>
      <c r="E1238" s="4" t="n">
        <v>0.3298611111111111</v>
      </c>
      <c r="F1238" s="4" t="n">
        <v>0.7708333333333334</v>
      </c>
      <c r="G1238" s="3">
        <f>IF($E1238="","空卡",IF($F1238="","单卡","正常"))</f>
        <v/>
      </c>
      <c r="H1238" s="5">
        <f>IF($G1238="正常",ROUND(($F1238-$E1238)*1440,0),"")</f>
        <v/>
      </c>
      <c r="I1238" s="6">
        <f>IF($G1238="正常",$H1238/60,"")</f>
        <v/>
      </c>
      <c r="J1238" s="7">
        <f>IF($G1238="正常",ROUND($H1238/30,0)/2,"")</f>
        <v/>
      </c>
      <c r="K1238" s="7">
        <f>IF($G1238="正常",MIN($J1238,12),"")</f>
        <v/>
      </c>
      <c r="L1238" s="7">
        <f>IF($G1238="正常",MAX($J1238-12,0),"")</f>
        <v/>
      </c>
    </row>
    <row r="1239">
      <c r="A1239" s="3" t="inlineStr">
        <is>
          <t>钟富菊</t>
        </is>
      </c>
      <c r="B1239" s="3" t="inlineStr">
        <is>
          <t>8/29</t>
        </is>
      </c>
      <c r="C1239" s="3" t="inlineStr">
        <is>
          <t>六</t>
        </is>
      </c>
      <c r="D1239" s="3" t="inlineStr">
        <is>
          <t>07:57 22:35</t>
        </is>
      </c>
      <c r="E1239" s="4" t="n">
        <v>0.33125</v>
      </c>
      <c r="F1239" s="4" t="n">
        <v>0.9409722222222222</v>
      </c>
      <c r="G1239" s="3">
        <f>IF($E1239="","空卡",IF($F1239="","单卡","正常"))</f>
        <v/>
      </c>
      <c r="H1239" s="5">
        <f>IF($G1239="正常",ROUND(($F1239-$E1239)*1440,0),"")</f>
        <v/>
      </c>
      <c r="I1239" s="6">
        <f>IF($G1239="正常",$H1239/60,"")</f>
        <v/>
      </c>
      <c r="J1239" s="7">
        <f>IF($G1239="正常",ROUND($H1239/30,0)/2,"")</f>
        <v/>
      </c>
      <c r="K1239" s="7">
        <f>IF($G1239="正常",MIN($J1239,12),"")</f>
        <v/>
      </c>
      <c r="L1239" s="7">
        <f>IF($G1239="正常",MAX($J1239-12,0),"")</f>
        <v/>
      </c>
    </row>
    <row r="1240">
      <c r="A1240" s="3" t="inlineStr">
        <is>
          <t>钟富菊</t>
        </is>
      </c>
      <c r="B1240" s="3" t="inlineStr">
        <is>
          <t>8/30</t>
        </is>
      </c>
      <c r="C1240" s="3" t="inlineStr">
        <is>
          <t>日</t>
        </is>
      </c>
      <c r="D1240" s="3" t="inlineStr">
        <is>
          <t>07:55 18:51</t>
        </is>
      </c>
      <c r="E1240" s="4" t="n">
        <v>0.3298611111111111</v>
      </c>
      <c r="F1240" s="4" t="n">
        <v>0.7854166666666667</v>
      </c>
      <c r="G1240" s="3">
        <f>IF($E1240="","空卡",IF($F1240="","单卡","正常"))</f>
        <v/>
      </c>
      <c r="H1240" s="5">
        <f>IF($G1240="正常",ROUND(($F1240-$E1240)*1440,0),"")</f>
        <v/>
      </c>
      <c r="I1240" s="6">
        <f>IF($G1240="正常",$H1240/60,"")</f>
        <v/>
      </c>
      <c r="J1240" s="7">
        <f>IF($G1240="正常",ROUND($H1240/30,0)/2,"")</f>
        <v/>
      </c>
      <c r="K1240" s="7">
        <f>IF($G1240="正常",MIN($J1240,12),"")</f>
        <v/>
      </c>
      <c r="L1240" s="7">
        <f>IF($G1240="正常",MAX($J1240-12,0),"")</f>
        <v/>
      </c>
    </row>
    <row r="1241">
      <c r="A1241" s="8" t="inlineStr">
        <is>
          <t>钟富菊</t>
        </is>
      </c>
      <c r="B1241" s="8" t="inlineStr">
        <is>
          <t>8/31</t>
        </is>
      </c>
      <c r="C1241" s="8" t="inlineStr">
        <is>
          <t>一</t>
        </is>
      </c>
      <c r="D1241" s="8" t="inlineStr"/>
      <c r="E1241" s="9" t="n"/>
      <c r="F1241" s="9" t="n"/>
      <c r="G1241" s="10">
        <f>IF($E1241="","空卡",IF($F1241="","单卡","正常"))</f>
        <v/>
      </c>
      <c r="H1241" s="11">
        <f>IF($G1241="正常",ROUND(($F1241-$E1241)*1440,0),"")</f>
        <v/>
      </c>
      <c r="I1241" s="12">
        <f>IF($G1241="正常",$H1241/60,"")</f>
        <v/>
      </c>
      <c r="J1241" s="13">
        <f>IF($G1241="正常",ROUND($H1241/30,0)/2,"")</f>
        <v/>
      </c>
      <c r="K1241" s="13">
        <f>IF($G1241="正常",MIN($J1241,12),"")</f>
        <v/>
      </c>
      <c r="L1241" s="13">
        <f>IF($G1241="正常",MAX($J1241-12,0),"")</f>
        <v/>
      </c>
    </row>
    <row r="1242">
      <c r="A1242" s="8" t="inlineStr">
        <is>
          <t>吴光德</t>
        </is>
      </c>
      <c r="B1242" s="8" t="inlineStr">
        <is>
          <t>8/1</t>
        </is>
      </c>
      <c r="C1242" s="8" t="inlineStr">
        <is>
          <t>六</t>
        </is>
      </c>
      <c r="D1242" s="8" t="inlineStr"/>
      <c r="E1242" s="9" t="n"/>
      <c r="F1242" s="9" t="n"/>
      <c r="G1242" s="10">
        <f>IF($E1242="","空卡",IF($F1242="","单卡","正常"))</f>
        <v/>
      </c>
      <c r="H1242" s="11">
        <f>IF($G1242="正常",ROUND(($F1242-$E1242)*1440,0),"")</f>
        <v/>
      </c>
      <c r="I1242" s="12">
        <f>IF($G1242="正常",$H1242/60,"")</f>
        <v/>
      </c>
      <c r="J1242" s="13">
        <f>IF($G1242="正常",ROUND($H1242/30,0)/2,"")</f>
        <v/>
      </c>
      <c r="K1242" s="13">
        <f>IF($G1242="正常",MIN($J1242,12),"")</f>
        <v/>
      </c>
      <c r="L1242" s="13">
        <f>IF($G1242="正常",MAX($J1242-12,0),"")</f>
        <v/>
      </c>
    </row>
    <row r="1243">
      <c r="A1243" s="8" t="inlineStr">
        <is>
          <t>吴光德</t>
        </is>
      </c>
      <c r="B1243" s="8" t="inlineStr">
        <is>
          <t>8/2</t>
        </is>
      </c>
      <c r="C1243" s="8" t="inlineStr">
        <is>
          <t>日</t>
        </is>
      </c>
      <c r="D1243" s="8" t="inlineStr"/>
      <c r="E1243" s="9" t="n"/>
      <c r="F1243" s="9" t="n"/>
      <c r="G1243" s="10">
        <f>IF($E1243="","空卡",IF($F1243="","单卡","正常"))</f>
        <v/>
      </c>
      <c r="H1243" s="11">
        <f>IF($G1243="正常",ROUND(($F1243-$E1243)*1440,0),"")</f>
        <v/>
      </c>
      <c r="I1243" s="12">
        <f>IF($G1243="正常",$H1243/60,"")</f>
        <v/>
      </c>
      <c r="J1243" s="13">
        <f>IF($G1243="正常",ROUND($H1243/30,0)/2,"")</f>
        <v/>
      </c>
      <c r="K1243" s="13">
        <f>IF($G1243="正常",MIN($J1243,12),"")</f>
        <v/>
      </c>
      <c r="L1243" s="13">
        <f>IF($G1243="正常",MAX($J1243-12,0),"")</f>
        <v/>
      </c>
    </row>
    <row r="1244">
      <c r="A1244" s="8" t="inlineStr">
        <is>
          <t>吴光德</t>
        </is>
      </c>
      <c r="B1244" s="8" t="inlineStr">
        <is>
          <t>8/3</t>
        </is>
      </c>
      <c r="C1244" s="8" t="inlineStr">
        <is>
          <t>一</t>
        </is>
      </c>
      <c r="D1244" s="8" t="inlineStr"/>
      <c r="E1244" s="9" t="n"/>
      <c r="F1244" s="9" t="n"/>
      <c r="G1244" s="10">
        <f>IF($E1244="","空卡",IF($F1244="","单卡","正常"))</f>
        <v/>
      </c>
      <c r="H1244" s="11">
        <f>IF($G1244="正常",ROUND(($F1244-$E1244)*1440,0),"")</f>
        <v/>
      </c>
      <c r="I1244" s="12">
        <f>IF($G1244="正常",$H1244/60,"")</f>
        <v/>
      </c>
      <c r="J1244" s="13">
        <f>IF($G1244="正常",ROUND($H1244/30,0)/2,"")</f>
        <v/>
      </c>
      <c r="K1244" s="13">
        <f>IF($G1244="正常",MIN($J1244,12),"")</f>
        <v/>
      </c>
      <c r="L1244" s="13">
        <f>IF($G1244="正常",MAX($J1244-12,0),"")</f>
        <v/>
      </c>
    </row>
    <row r="1245">
      <c r="A1245" s="3" t="inlineStr">
        <is>
          <t>吴光德</t>
        </is>
      </c>
      <c r="B1245" s="3" t="inlineStr">
        <is>
          <t>8/4</t>
        </is>
      </c>
      <c r="C1245" s="3" t="inlineStr">
        <is>
          <t>二</t>
        </is>
      </c>
      <c r="D1245" s="3" t="inlineStr">
        <is>
          <t>08:23 19:55</t>
        </is>
      </c>
      <c r="E1245" s="4" t="n">
        <v>0.3493055555555555</v>
      </c>
      <c r="F1245" s="4" t="n">
        <v>0.8298611111111112</v>
      </c>
      <c r="G1245" s="3">
        <f>IF($E1245="","空卡",IF($F1245="","单卡","正常"))</f>
        <v/>
      </c>
      <c r="H1245" s="5">
        <f>IF($G1245="正常",ROUND(($F1245-$E1245)*1440,0),"")</f>
        <v/>
      </c>
      <c r="I1245" s="6">
        <f>IF($G1245="正常",$H1245/60,"")</f>
        <v/>
      </c>
      <c r="J1245" s="7">
        <f>IF($G1245="正常",ROUND($H1245/30,0)/2,"")</f>
        <v/>
      </c>
      <c r="K1245" s="7">
        <f>IF($G1245="正常",MIN($J1245,12),"")</f>
        <v/>
      </c>
      <c r="L1245" s="7">
        <f>IF($G1245="正常",MAX($J1245-12,0),"")</f>
        <v/>
      </c>
    </row>
    <row r="1246">
      <c r="A1246" s="3" t="inlineStr">
        <is>
          <t>吴光德</t>
        </is>
      </c>
      <c r="B1246" s="3" t="inlineStr">
        <is>
          <t>8/5</t>
        </is>
      </c>
      <c r="C1246" s="3" t="inlineStr">
        <is>
          <t>三</t>
        </is>
      </c>
      <c r="D1246" s="3" t="inlineStr">
        <is>
          <t>08:05 19:20</t>
        </is>
      </c>
      <c r="E1246" s="4" t="n">
        <v>0.3368055555555556</v>
      </c>
      <c r="F1246" s="4" t="n">
        <v>0.8055555555555556</v>
      </c>
      <c r="G1246" s="3">
        <f>IF($E1246="","空卡",IF($F1246="","单卡","正常"))</f>
        <v/>
      </c>
      <c r="H1246" s="5">
        <f>IF($G1246="正常",ROUND(($F1246-$E1246)*1440,0),"")</f>
        <v/>
      </c>
      <c r="I1246" s="6">
        <f>IF($G1246="正常",$H1246/60,"")</f>
        <v/>
      </c>
      <c r="J1246" s="7">
        <f>IF($G1246="正常",ROUND($H1246/30,0)/2,"")</f>
        <v/>
      </c>
      <c r="K1246" s="7">
        <f>IF($G1246="正常",MIN($J1246,12),"")</f>
        <v/>
      </c>
      <c r="L1246" s="7">
        <f>IF($G1246="正常",MAX($J1246-12,0),"")</f>
        <v/>
      </c>
    </row>
    <row r="1247">
      <c r="A1247" s="3" t="inlineStr">
        <is>
          <t>吴光德</t>
        </is>
      </c>
      <c r="B1247" s="3" t="inlineStr">
        <is>
          <t>8/6</t>
        </is>
      </c>
      <c r="C1247" s="3" t="inlineStr">
        <is>
          <t>四</t>
        </is>
      </c>
      <c r="D1247" s="3" t="inlineStr">
        <is>
          <t>07:41 19:58</t>
        </is>
      </c>
      <c r="E1247" s="4" t="n">
        <v>0.3201388888888889</v>
      </c>
      <c r="F1247" s="4" t="n">
        <v>0.8319444444444445</v>
      </c>
      <c r="G1247" s="3">
        <f>IF($E1247="","空卡",IF($F1247="","单卡","正常"))</f>
        <v/>
      </c>
      <c r="H1247" s="5">
        <f>IF($G1247="正常",ROUND(($F1247-$E1247)*1440,0),"")</f>
        <v/>
      </c>
      <c r="I1247" s="6">
        <f>IF($G1247="正常",$H1247/60,"")</f>
        <v/>
      </c>
      <c r="J1247" s="7">
        <f>IF($G1247="正常",ROUND($H1247/30,0)/2,"")</f>
        <v/>
      </c>
      <c r="K1247" s="7">
        <f>IF($G1247="正常",MIN($J1247,12),"")</f>
        <v/>
      </c>
      <c r="L1247" s="7">
        <f>IF($G1247="正常",MAX($J1247-12,0),"")</f>
        <v/>
      </c>
    </row>
    <row r="1248">
      <c r="A1248" s="3" t="inlineStr">
        <is>
          <t>吴光德</t>
        </is>
      </c>
      <c r="B1248" s="3" t="inlineStr">
        <is>
          <t>8/7</t>
        </is>
      </c>
      <c r="C1248" s="3" t="inlineStr">
        <is>
          <t>五</t>
        </is>
      </c>
      <c r="D1248" s="3" t="inlineStr">
        <is>
          <t>07:40 19:37</t>
        </is>
      </c>
      <c r="E1248" s="4" t="n">
        <v>0.3194444444444444</v>
      </c>
      <c r="F1248" s="4" t="n">
        <v>0.8173611111111111</v>
      </c>
      <c r="G1248" s="3">
        <f>IF($E1248="","空卡",IF($F1248="","单卡","正常"))</f>
        <v/>
      </c>
      <c r="H1248" s="5">
        <f>IF($G1248="正常",ROUND(($F1248-$E1248)*1440,0),"")</f>
        <v/>
      </c>
      <c r="I1248" s="6">
        <f>IF($G1248="正常",$H1248/60,"")</f>
        <v/>
      </c>
      <c r="J1248" s="7">
        <f>IF($G1248="正常",ROUND($H1248/30,0)/2,"")</f>
        <v/>
      </c>
      <c r="K1248" s="7">
        <f>IF($G1248="正常",MIN($J1248,12),"")</f>
        <v/>
      </c>
      <c r="L1248" s="7">
        <f>IF($G1248="正常",MAX($J1248-12,0),"")</f>
        <v/>
      </c>
    </row>
    <row r="1249">
      <c r="A1249" s="3" t="inlineStr">
        <is>
          <t>吴光德</t>
        </is>
      </c>
      <c r="B1249" s="3" t="inlineStr">
        <is>
          <t>8/8</t>
        </is>
      </c>
      <c r="C1249" s="3" t="inlineStr">
        <is>
          <t>六</t>
        </is>
      </c>
      <c r="D1249" s="3" t="inlineStr">
        <is>
          <t>07:03 19:51</t>
        </is>
      </c>
      <c r="E1249" s="4" t="n">
        <v>0.29375</v>
      </c>
      <c r="F1249" s="4" t="n">
        <v>0.8270833333333333</v>
      </c>
      <c r="G1249" s="3">
        <f>IF($E1249="","空卡",IF($F1249="","单卡","正常"))</f>
        <v/>
      </c>
      <c r="H1249" s="5">
        <f>IF($G1249="正常",ROUND(($F1249-$E1249)*1440,0),"")</f>
        <v/>
      </c>
      <c r="I1249" s="6">
        <f>IF($G1249="正常",$H1249/60,"")</f>
        <v/>
      </c>
      <c r="J1249" s="7">
        <f>IF($G1249="正常",ROUND($H1249/30,0)/2,"")</f>
        <v/>
      </c>
      <c r="K1249" s="7">
        <f>IF($G1249="正常",MIN($J1249,12),"")</f>
        <v/>
      </c>
      <c r="L1249" s="7">
        <f>IF($G1249="正常",MAX($J1249-12,0),"")</f>
        <v/>
      </c>
    </row>
    <row r="1250">
      <c r="A1250" s="8" t="inlineStr">
        <is>
          <t>吴光德</t>
        </is>
      </c>
      <c r="B1250" s="8" t="inlineStr">
        <is>
          <t>8/9</t>
        </is>
      </c>
      <c r="C1250" s="8" t="inlineStr">
        <is>
          <t>日</t>
        </is>
      </c>
      <c r="D1250" s="8" t="inlineStr"/>
      <c r="E1250" s="9" t="n"/>
      <c r="F1250" s="9" t="n"/>
      <c r="G1250" s="10">
        <f>IF($E1250="","空卡",IF($F1250="","单卡","正常"))</f>
        <v/>
      </c>
      <c r="H1250" s="11">
        <f>IF($G1250="正常",ROUND(($F1250-$E1250)*1440,0),"")</f>
        <v/>
      </c>
      <c r="I1250" s="12">
        <f>IF($G1250="正常",$H1250/60,"")</f>
        <v/>
      </c>
      <c r="J1250" s="13">
        <f>IF($G1250="正常",ROUND($H1250/30,0)/2,"")</f>
        <v/>
      </c>
      <c r="K1250" s="13">
        <f>IF($G1250="正常",MIN($J1250,12),"")</f>
        <v/>
      </c>
      <c r="L1250" s="13">
        <f>IF($G1250="正常",MAX($J1250-12,0),"")</f>
        <v/>
      </c>
    </row>
    <row r="1251">
      <c r="A1251" s="3" t="inlineStr">
        <is>
          <t>吴光德</t>
        </is>
      </c>
      <c r="B1251" s="3" t="inlineStr">
        <is>
          <t>8/10</t>
        </is>
      </c>
      <c r="C1251" s="3" t="inlineStr">
        <is>
          <t>一</t>
        </is>
      </c>
      <c r="D1251" s="3" t="inlineStr">
        <is>
          <t>07:09 20:14</t>
        </is>
      </c>
      <c r="E1251" s="4" t="n">
        <v>0.2979166666666667</v>
      </c>
      <c r="F1251" s="4" t="n">
        <v>0.8430555555555556</v>
      </c>
      <c r="G1251" s="3">
        <f>IF($E1251="","空卡",IF($F1251="","单卡","正常"))</f>
        <v/>
      </c>
      <c r="H1251" s="5">
        <f>IF($G1251="正常",ROUND(($F1251-$E1251)*1440,0),"")</f>
        <v/>
      </c>
      <c r="I1251" s="6">
        <f>IF($G1251="正常",$H1251/60,"")</f>
        <v/>
      </c>
      <c r="J1251" s="7">
        <f>IF($G1251="正常",ROUND($H1251/30,0)/2,"")</f>
        <v/>
      </c>
      <c r="K1251" s="7">
        <f>IF($G1251="正常",MIN($J1251,12),"")</f>
        <v/>
      </c>
      <c r="L1251" s="7">
        <f>IF($G1251="正常",MAX($J1251-12,0),"")</f>
        <v/>
      </c>
    </row>
    <row r="1252">
      <c r="A1252" s="3" t="inlineStr">
        <is>
          <t>吴光德</t>
        </is>
      </c>
      <c r="B1252" s="3" t="inlineStr">
        <is>
          <t>8/11</t>
        </is>
      </c>
      <c r="C1252" s="3" t="inlineStr">
        <is>
          <t>二</t>
        </is>
      </c>
      <c r="D1252" s="3" t="inlineStr">
        <is>
          <t>07:31 19:29</t>
        </is>
      </c>
      <c r="E1252" s="4" t="n">
        <v>0.3131944444444444</v>
      </c>
      <c r="F1252" s="4" t="n">
        <v>0.8118055555555556</v>
      </c>
      <c r="G1252" s="3">
        <f>IF($E1252="","空卡",IF($F1252="","单卡","正常"))</f>
        <v/>
      </c>
      <c r="H1252" s="5">
        <f>IF($G1252="正常",ROUND(($F1252-$E1252)*1440,0),"")</f>
        <v/>
      </c>
      <c r="I1252" s="6">
        <f>IF($G1252="正常",$H1252/60,"")</f>
        <v/>
      </c>
      <c r="J1252" s="7">
        <f>IF($G1252="正常",ROUND($H1252/30,0)/2,"")</f>
        <v/>
      </c>
      <c r="K1252" s="7">
        <f>IF($G1252="正常",MIN($J1252,12),"")</f>
        <v/>
      </c>
      <c r="L1252" s="7">
        <f>IF($G1252="正常",MAX($J1252-12,0),"")</f>
        <v/>
      </c>
    </row>
    <row r="1253">
      <c r="A1253" s="3" t="inlineStr">
        <is>
          <t>吴光德</t>
        </is>
      </c>
      <c r="B1253" s="3" t="inlineStr">
        <is>
          <t>8/12</t>
        </is>
      </c>
      <c r="C1253" s="3" t="inlineStr">
        <is>
          <t>三</t>
        </is>
      </c>
      <c r="D1253" s="3" t="inlineStr">
        <is>
          <t>07:13 19:49</t>
        </is>
      </c>
      <c r="E1253" s="4" t="n">
        <v>0.3006944444444444</v>
      </c>
      <c r="F1253" s="4" t="n">
        <v>0.8256944444444444</v>
      </c>
      <c r="G1253" s="3">
        <f>IF($E1253="","空卡",IF($F1253="","单卡","正常"))</f>
        <v/>
      </c>
      <c r="H1253" s="5">
        <f>IF($G1253="正常",ROUND(($F1253-$E1253)*1440,0),"")</f>
        <v/>
      </c>
      <c r="I1253" s="6">
        <f>IF($G1253="正常",$H1253/60,"")</f>
        <v/>
      </c>
      <c r="J1253" s="7">
        <f>IF($G1253="正常",ROUND($H1253/30,0)/2,"")</f>
        <v/>
      </c>
      <c r="K1253" s="7">
        <f>IF($G1253="正常",MIN($J1253,12),"")</f>
        <v/>
      </c>
      <c r="L1253" s="7">
        <f>IF($G1253="正常",MAX($J1253-12,0),"")</f>
        <v/>
      </c>
    </row>
    <row r="1254">
      <c r="A1254" s="3" t="inlineStr">
        <is>
          <t>吴光德</t>
        </is>
      </c>
      <c r="B1254" s="3" t="inlineStr">
        <is>
          <t>8/13</t>
        </is>
      </c>
      <c r="C1254" s="3" t="inlineStr">
        <is>
          <t>四</t>
        </is>
      </c>
      <c r="D1254" s="3" t="inlineStr">
        <is>
          <t>07:27 19:24</t>
        </is>
      </c>
      <c r="E1254" s="4" t="n">
        <v>0.3104166666666667</v>
      </c>
      <c r="F1254" s="4" t="n">
        <v>0.8083333333333333</v>
      </c>
      <c r="G1254" s="3">
        <f>IF($E1254="","空卡",IF($F1254="","单卡","正常"))</f>
        <v/>
      </c>
      <c r="H1254" s="5">
        <f>IF($G1254="正常",ROUND(($F1254-$E1254)*1440,0),"")</f>
        <v/>
      </c>
      <c r="I1254" s="6">
        <f>IF($G1254="正常",$H1254/60,"")</f>
        <v/>
      </c>
      <c r="J1254" s="7">
        <f>IF($G1254="正常",ROUND($H1254/30,0)/2,"")</f>
        <v/>
      </c>
      <c r="K1254" s="7">
        <f>IF($G1254="正常",MIN($J1254,12),"")</f>
        <v/>
      </c>
      <c r="L1254" s="7">
        <f>IF($G1254="正常",MAX($J1254-12,0),"")</f>
        <v/>
      </c>
    </row>
    <row r="1255">
      <c r="A1255" s="3" t="inlineStr">
        <is>
          <t>吴光德</t>
        </is>
      </c>
      <c r="B1255" s="3" t="inlineStr">
        <is>
          <t>8/14</t>
        </is>
      </c>
      <c r="C1255" s="3" t="inlineStr">
        <is>
          <t>五</t>
        </is>
      </c>
      <c r="D1255" s="3" t="inlineStr">
        <is>
          <t>06:55 20:23</t>
        </is>
      </c>
      <c r="E1255" s="4" t="n">
        <v>0.2881944444444444</v>
      </c>
      <c r="F1255" s="4" t="n">
        <v>0.8493055555555555</v>
      </c>
      <c r="G1255" s="3">
        <f>IF($E1255="","空卡",IF($F1255="","单卡","正常"))</f>
        <v/>
      </c>
      <c r="H1255" s="5">
        <f>IF($G1255="正常",ROUND(($F1255-$E1255)*1440,0),"")</f>
        <v/>
      </c>
      <c r="I1255" s="6">
        <f>IF($G1255="正常",$H1255/60,"")</f>
        <v/>
      </c>
      <c r="J1255" s="7">
        <f>IF($G1255="正常",ROUND($H1255/30,0)/2,"")</f>
        <v/>
      </c>
      <c r="K1255" s="7">
        <f>IF($G1255="正常",MIN($J1255,12),"")</f>
        <v/>
      </c>
      <c r="L1255" s="7">
        <f>IF($G1255="正常",MAX($J1255-12,0),"")</f>
        <v/>
      </c>
    </row>
    <row r="1256">
      <c r="A1256" s="8" t="inlineStr">
        <is>
          <t>吴光德</t>
        </is>
      </c>
      <c r="B1256" s="8" t="inlineStr">
        <is>
          <t>8/15</t>
        </is>
      </c>
      <c r="C1256" s="8" t="inlineStr">
        <is>
          <t>六</t>
        </is>
      </c>
      <c r="D1256" s="8" t="inlineStr">
        <is>
          <t>19:27</t>
        </is>
      </c>
      <c r="E1256" s="9" t="n">
        <v>0.8104166666666667</v>
      </c>
      <c r="F1256" s="9" t="n"/>
      <c r="G1256" s="10">
        <f>IF($E1256="","空卡",IF($F1256="","单卡","正常"))</f>
        <v/>
      </c>
      <c r="H1256" s="11">
        <f>IF($G1256="正常",ROUND(($F1256-$E1256)*1440,0),"")</f>
        <v/>
      </c>
      <c r="I1256" s="12">
        <f>IF($G1256="正常",$H1256/60,"")</f>
        <v/>
      </c>
      <c r="J1256" s="13">
        <f>IF($G1256="正常",ROUND($H1256/30,0)/2,"")</f>
        <v/>
      </c>
      <c r="K1256" s="13">
        <f>IF($G1256="正常",MIN($J1256,12),"")</f>
        <v/>
      </c>
      <c r="L1256" s="13">
        <f>IF($G1256="正常",MAX($J1256-12,0),"")</f>
        <v/>
      </c>
    </row>
    <row r="1257">
      <c r="A1257" s="8" t="inlineStr">
        <is>
          <t>吴光德</t>
        </is>
      </c>
      <c r="B1257" s="8" t="inlineStr">
        <is>
          <t>8/16</t>
        </is>
      </c>
      <c r="C1257" s="8" t="inlineStr">
        <is>
          <t>日</t>
        </is>
      </c>
      <c r="D1257" s="8" t="inlineStr"/>
      <c r="E1257" s="9" t="n"/>
      <c r="F1257" s="9" t="n"/>
      <c r="G1257" s="10">
        <f>IF($E1257="","空卡",IF($F1257="","单卡","正常"))</f>
        <v/>
      </c>
      <c r="H1257" s="11">
        <f>IF($G1257="正常",ROUND(($F1257-$E1257)*1440,0),"")</f>
        <v/>
      </c>
      <c r="I1257" s="12">
        <f>IF($G1257="正常",$H1257/60,"")</f>
        <v/>
      </c>
      <c r="J1257" s="13">
        <f>IF($G1257="正常",ROUND($H1257/30,0)/2,"")</f>
        <v/>
      </c>
      <c r="K1257" s="13">
        <f>IF($G1257="正常",MIN($J1257,12),"")</f>
        <v/>
      </c>
      <c r="L1257" s="13">
        <f>IF($G1257="正常",MAX($J1257-12,0),"")</f>
        <v/>
      </c>
    </row>
    <row r="1258">
      <c r="A1258" s="3" t="inlineStr">
        <is>
          <t>吴光德</t>
        </is>
      </c>
      <c r="B1258" s="3" t="inlineStr">
        <is>
          <t>8/17</t>
        </is>
      </c>
      <c r="C1258" s="3" t="inlineStr">
        <is>
          <t>一</t>
        </is>
      </c>
      <c r="D1258" s="3" t="inlineStr">
        <is>
          <t>07:07 20:14</t>
        </is>
      </c>
      <c r="E1258" s="4" t="n">
        <v>0.2965277777777778</v>
      </c>
      <c r="F1258" s="4" t="n">
        <v>0.8430555555555556</v>
      </c>
      <c r="G1258" s="3">
        <f>IF($E1258="","空卡",IF($F1258="","单卡","正常"))</f>
        <v/>
      </c>
      <c r="H1258" s="5">
        <f>IF($G1258="正常",ROUND(($F1258-$E1258)*1440,0),"")</f>
        <v/>
      </c>
      <c r="I1258" s="6">
        <f>IF($G1258="正常",$H1258/60,"")</f>
        <v/>
      </c>
      <c r="J1258" s="7">
        <f>IF($G1258="正常",ROUND($H1258/30,0)/2,"")</f>
        <v/>
      </c>
      <c r="K1258" s="7">
        <f>IF($G1258="正常",MIN($J1258,12),"")</f>
        <v/>
      </c>
      <c r="L1258" s="7">
        <f>IF($G1258="正常",MAX($J1258-12,0),"")</f>
        <v/>
      </c>
    </row>
    <row r="1259">
      <c r="A1259" s="3" t="inlineStr">
        <is>
          <t>吴光德</t>
        </is>
      </c>
      <c r="B1259" s="3" t="inlineStr">
        <is>
          <t>8/18</t>
        </is>
      </c>
      <c r="C1259" s="3" t="inlineStr">
        <is>
          <t>二</t>
        </is>
      </c>
      <c r="D1259" s="3" t="inlineStr">
        <is>
          <t>07:19 10:08 20:21</t>
        </is>
      </c>
      <c r="E1259" s="4" t="n">
        <v>0.3048611111111111</v>
      </c>
      <c r="F1259" s="4" t="n">
        <v>0.8479166666666667</v>
      </c>
      <c r="G1259" s="3">
        <f>IF($E1259="","空卡",IF($F1259="","单卡","正常"))</f>
        <v/>
      </c>
      <c r="H1259" s="5">
        <f>IF($G1259="正常",ROUND(($F1259-$E1259)*1440,0),"")</f>
        <v/>
      </c>
      <c r="I1259" s="6">
        <f>IF($G1259="正常",$H1259/60,"")</f>
        <v/>
      </c>
      <c r="J1259" s="7">
        <f>IF($G1259="正常",ROUND($H1259/30,0)/2,"")</f>
        <v/>
      </c>
      <c r="K1259" s="7">
        <f>IF($G1259="正常",MIN($J1259,12),"")</f>
        <v/>
      </c>
      <c r="L1259" s="7">
        <f>IF($G1259="正常",MAX($J1259-12,0),"")</f>
        <v/>
      </c>
    </row>
    <row r="1260">
      <c r="A1260" s="3" t="inlineStr">
        <is>
          <t>吴光德</t>
        </is>
      </c>
      <c r="B1260" s="3" t="inlineStr">
        <is>
          <t>8/19</t>
        </is>
      </c>
      <c r="C1260" s="3" t="inlineStr">
        <is>
          <t>三</t>
        </is>
      </c>
      <c r="D1260" s="3" t="inlineStr">
        <is>
          <t>07:21 19:44</t>
        </is>
      </c>
      <c r="E1260" s="4" t="n">
        <v>0.30625</v>
      </c>
      <c r="F1260" s="4" t="n">
        <v>0.8222222222222222</v>
      </c>
      <c r="G1260" s="3">
        <f>IF($E1260="","空卡",IF($F1260="","单卡","正常"))</f>
        <v/>
      </c>
      <c r="H1260" s="5">
        <f>IF($G1260="正常",ROUND(($F1260-$E1260)*1440,0),"")</f>
        <v/>
      </c>
      <c r="I1260" s="6">
        <f>IF($G1260="正常",$H1260/60,"")</f>
        <v/>
      </c>
      <c r="J1260" s="7">
        <f>IF($G1260="正常",ROUND($H1260/30,0)/2,"")</f>
        <v/>
      </c>
      <c r="K1260" s="7">
        <f>IF($G1260="正常",MIN($J1260,12),"")</f>
        <v/>
      </c>
      <c r="L1260" s="7">
        <f>IF($G1260="正常",MAX($J1260-12,0),"")</f>
        <v/>
      </c>
    </row>
    <row r="1261">
      <c r="A1261" s="3" t="inlineStr">
        <is>
          <t>吴光德</t>
        </is>
      </c>
      <c r="B1261" s="3" t="inlineStr">
        <is>
          <t>8/20</t>
        </is>
      </c>
      <c r="C1261" s="3" t="inlineStr">
        <is>
          <t>四</t>
        </is>
      </c>
      <c r="D1261" s="3" t="inlineStr">
        <is>
          <t>07:05 19:53</t>
        </is>
      </c>
      <c r="E1261" s="4" t="n">
        <v>0.2951388888888889</v>
      </c>
      <c r="F1261" s="4" t="n">
        <v>0.8284722222222223</v>
      </c>
      <c r="G1261" s="3">
        <f>IF($E1261="","空卡",IF($F1261="","单卡","正常"))</f>
        <v/>
      </c>
      <c r="H1261" s="5">
        <f>IF($G1261="正常",ROUND(($F1261-$E1261)*1440,0),"")</f>
        <v/>
      </c>
      <c r="I1261" s="6">
        <f>IF($G1261="正常",$H1261/60,"")</f>
        <v/>
      </c>
      <c r="J1261" s="7">
        <f>IF($G1261="正常",ROUND($H1261/30,0)/2,"")</f>
        <v/>
      </c>
      <c r="K1261" s="7">
        <f>IF($G1261="正常",MIN($J1261,12),"")</f>
        <v/>
      </c>
      <c r="L1261" s="7">
        <f>IF($G1261="正常",MAX($J1261-12,0),"")</f>
        <v/>
      </c>
    </row>
    <row r="1262">
      <c r="A1262" s="3" t="inlineStr">
        <is>
          <t>吴光德</t>
        </is>
      </c>
      <c r="B1262" s="3" t="inlineStr">
        <is>
          <t>8/21</t>
        </is>
      </c>
      <c r="C1262" s="3" t="inlineStr">
        <is>
          <t>五</t>
        </is>
      </c>
      <c r="D1262" s="3" t="inlineStr">
        <is>
          <t>07:21 20:02</t>
        </is>
      </c>
      <c r="E1262" s="4" t="n">
        <v>0.30625</v>
      </c>
      <c r="F1262" s="4" t="n">
        <v>0.8347222222222223</v>
      </c>
      <c r="G1262" s="3">
        <f>IF($E1262="","空卡",IF($F1262="","单卡","正常"))</f>
        <v/>
      </c>
      <c r="H1262" s="5">
        <f>IF($G1262="正常",ROUND(($F1262-$E1262)*1440,0),"")</f>
        <v/>
      </c>
      <c r="I1262" s="6">
        <f>IF($G1262="正常",$H1262/60,"")</f>
        <v/>
      </c>
      <c r="J1262" s="7">
        <f>IF($G1262="正常",ROUND($H1262/30,0)/2,"")</f>
        <v/>
      </c>
      <c r="K1262" s="7">
        <f>IF($G1262="正常",MIN($J1262,12),"")</f>
        <v/>
      </c>
      <c r="L1262" s="7">
        <f>IF($G1262="正常",MAX($J1262-12,0),"")</f>
        <v/>
      </c>
    </row>
    <row r="1263">
      <c r="A1263" s="3" t="inlineStr">
        <is>
          <t>吴光德</t>
        </is>
      </c>
      <c r="B1263" s="3" t="inlineStr">
        <is>
          <t>8/22</t>
        </is>
      </c>
      <c r="C1263" s="3" t="inlineStr">
        <is>
          <t>六</t>
        </is>
      </c>
      <c r="D1263" s="3" t="inlineStr">
        <is>
          <t>06:44 19:12</t>
        </is>
      </c>
      <c r="E1263" s="4" t="n">
        <v>0.2805555555555556</v>
      </c>
      <c r="F1263" s="4" t="n">
        <v>0.8</v>
      </c>
      <c r="G1263" s="3">
        <f>IF($E1263="","空卡",IF($F1263="","单卡","正常"))</f>
        <v/>
      </c>
      <c r="H1263" s="5">
        <f>IF($G1263="正常",ROUND(($F1263-$E1263)*1440,0),"")</f>
        <v/>
      </c>
      <c r="I1263" s="6">
        <f>IF($G1263="正常",$H1263/60,"")</f>
        <v/>
      </c>
      <c r="J1263" s="7">
        <f>IF($G1263="正常",ROUND($H1263/30,0)/2,"")</f>
        <v/>
      </c>
      <c r="K1263" s="7">
        <f>IF($G1263="正常",MIN($J1263,12),"")</f>
        <v/>
      </c>
      <c r="L1263" s="7">
        <f>IF($G1263="正常",MAX($J1263-12,0),"")</f>
        <v/>
      </c>
    </row>
    <row r="1264">
      <c r="A1264" s="8" t="inlineStr">
        <is>
          <t>吴光德</t>
        </is>
      </c>
      <c r="B1264" s="8" t="inlineStr">
        <is>
          <t>8/23</t>
        </is>
      </c>
      <c r="C1264" s="8" t="inlineStr">
        <is>
          <t>日</t>
        </is>
      </c>
      <c r="D1264" s="8" t="inlineStr"/>
      <c r="E1264" s="9" t="n"/>
      <c r="F1264" s="9" t="n"/>
      <c r="G1264" s="10">
        <f>IF($E1264="","空卡",IF($F1264="","单卡","正常"))</f>
        <v/>
      </c>
      <c r="H1264" s="11">
        <f>IF($G1264="正常",ROUND(($F1264-$E1264)*1440,0),"")</f>
        <v/>
      </c>
      <c r="I1264" s="12">
        <f>IF($G1264="正常",$H1264/60,"")</f>
        <v/>
      </c>
      <c r="J1264" s="13">
        <f>IF($G1264="正常",ROUND($H1264/30,0)/2,"")</f>
        <v/>
      </c>
      <c r="K1264" s="13">
        <f>IF($G1264="正常",MIN($J1264,12),"")</f>
        <v/>
      </c>
      <c r="L1264" s="13">
        <f>IF($G1264="正常",MAX($J1264-12,0),"")</f>
        <v/>
      </c>
    </row>
    <row r="1265">
      <c r="A1265" s="3" t="inlineStr">
        <is>
          <t>吴光德</t>
        </is>
      </c>
      <c r="B1265" s="3" t="inlineStr">
        <is>
          <t>8/24</t>
        </is>
      </c>
      <c r="C1265" s="3" t="inlineStr">
        <is>
          <t>一</t>
        </is>
      </c>
      <c r="D1265" s="3" t="inlineStr">
        <is>
          <t>07:10 17:54</t>
        </is>
      </c>
      <c r="E1265" s="4" t="n">
        <v>0.2986111111111111</v>
      </c>
      <c r="F1265" s="4" t="n">
        <v>0.7458333333333333</v>
      </c>
      <c r="G1265" s="3">
        <f>IF($E1265="","空卡",IF($F1265="","单卡","正常"))</f>
        <v/>
      </c>
      <c r="H1265" s="5">
        <f>IF($G1265="正常",ROUND(($F1265-$E1265)*1440,0),"")</f>
        <v/>
      </c>
      <c r="I1265" s="6">
        <f>IF($G1265="正常",$H1265/60,"")</f>
        <v/>
      </c>
      <c r="J1265" s="7">
        <f>IF($G1265="正常",ROUND($H1265/30,0)/2,"")</f>
        <v/>
      </c>
      <c r="K1265" s="7">
        <f>IF($G1265="正常",MIN($J1265,12),"")</f>
        <v/>
      </c>
      <c r="L1265" s="7">
        <f>IF($G1265="正常",MAX($J1265-12,0),"")</f>
        <v/>
      </c>
    </row>
    <row r="1266">
      <c r="A1266" s="3" t="inlineStr">
        <is>
          <t>吴光德</t>
        </is>
      </c>
      <c r="B1266" s="3" t="inlineStr">
        <is>
          <t>8/25</t>
        </is>
      </c>
      <c r="C1266" s="3" t="inlineStr">
        <is>
          <t>二</t>
        </is>
      </c>
      <c r="D1266" s="3" t="inlineStr">
        <is>
          <t>07:32 19:39</t>
        </is>
      </c>
      <c r="E1266" s="4" t="n">
        <v>0.3138888888888889</v>
      </c>
      <c r="F1266" s="4" t="n">
        <v>0.81875</v>
      </c>
      <c r="G1266" s="3">
        <f>IF($E1266="","空卡",IF($F1266="","单卡","正常"))</f>
        <v/>
      </c>
      <c r="H1266" s="5">
        <f>IF($G1266="正常",ROUND(($F1266-$E1266)*1440,0),"")</f>
        <v/>
      </c>
      <c r="I1266" s="6">
        <f>IF($G1266="正常",$H1266/60,"")</f>
        <v/>
      </c>
      <c r="J1266" s="7">
        <f>IF($G1266="正常",ROUND($H1266/30,0)/2,"")</f>
        <v/>
      </c>
      <c r="K1266" s="7">
        <f>IF($G1266="正常",MIN($J1266,12),"")</f>
        <v/>
      </c>
      <c r="L1266" s="7">
        <f>IF($G1266="正常",MAX($J1266-12,0),"")</f>
        <v/>
      </c>
    </row>
    <row r="1267">
      <c r="A1267" s="3" t="inlineStr">
        <is>
          <t>吴光德</t>
        </is>
      </c>
      <c r="B1267" s="3" t="inlineStr">
        <is>
          <t>8/26</t>
        </is>
      </c>
      <c r="C1267" s="3" t="inlineStr">
        <is>
          <t>三</t>
        </is>
      </c>
      <c r="D1267" s="3" t="inlineStr">
        <is>
          <t>07:38 20:02</t>
        </is>
      </c>
      <c r="E1267" s="4" t="n">
        <v>0.3180555555555555</v>
      </c>
      <c r="F1267" s="4" t="n">
        <v>0.8347222222222223</v>
      </c>
      <c r="G1267" s="3">
        <f>IF($E1267="","空卡",IF($F1267="","单卡","正常"))</f>
        <v/>
      </c>
      <c r="H1267" s="5">
        <f>IF($G1267="正常",ROUND(($F1267-$E1267)*1440,0),"")</f>
        <v/>
      </c>
      <c r="I1267" s="6">
        <f>IF($G1267="正常",$H1267/60,"")</f>
        <v/>
      </c>
      <c r="J1267" s="7">
        <f>IF($G1267="正常",ROUND($H1267/30,0)/2,"")</f>
        <v/>
      </c>
      <c r="K1267" s="7">
        <f>IF($G1267="正常",MIN($J1267,12),"")</f>
        <v/>
      </c>
      <c r="L1267" s="7">
        <f>IF($G1267="正常",MAX($J1267-12,0),"")</f>
        <v/>
      </c>
    </row>
    <row r="1268">
      <c r="A1268" s="3" t="inlineStr">
        <is>
          <t>吴光德</t>
        </is>
      </c>
      <c r="B1268" s="3" t="inlineStr">
        <is>
          <t>8/27</t>
        </is>
      </c>
      <c r="C1268" s="3" t="inlineStr">
        <is>
          <t>四</t>
        </is>
      </c>
      <c r="D1268" s="3" t="inlineStr">
        <is>
          <t>07:20 20:17</t>
        </is>
      </c>
      <c r="E1268" s="4" t="n">
        <v>0.3055555555555556</v>
      </c>
      <c r="F1268" s="4" t="n">
        <v>0.8451388888888889</v>
      </c>
      <c r="G1268" s="3">
        <f>IF($E1268="","空卡",IF($F1268="","单卡","正常"))</f>
        <v/>
      </c>
      <c r="H1268" s="5">
        <f>IF($G1268="正常",ROUND(($F1268-$E1268)*1440,0),"")</f>
        <v/>
      </c>
      <c r="I1268" s="6">
        <f>IF($G1268="正常",$H1268/60,"")</f>
        <v/>
      </c>
      <c r="J1268" s="7">
        <f>IF($G1268="正常",ROUND($H1268/30,0)/2,"")</f>
        <v/>
      </c>
      <c r="K1268" s="7">
        <f>IF($G1268="正常",MIN($J1268,12),"")</f>
        <v/>
      </c>
      <c r="L1268" s="7">
        <f>IF($G1268="正常",MAX($J1268-12,0),"")</f>
        <v/>
      </c>
    </row>
    <row r="1269">
      <c r="A1269" s="3" t="inlineStr">
        <is>
          <t>吴光德</t>
        </is>
      </c>
      <c r="B1269" s="3" t="inlineStr">
        <is>
          <t>8/28</t>
        </is>
      </c>
      <c r="C1269" s="3" t="inlineStr">
        <is>
          <t>五</t>
        </is>
      </c>
      <c r="D1269" s="3" t="inlineStr">
        <is>
          <t>07:18 19:15</t>
        </is>
      </c>
      <c r="E1269" s="4" t="n">
        <v>0.3041666666666666</v>
      </c>
      <c r="F1269" s="4" t="n">
        <v>0.8020833333333334</v>
      </c>
      <c r="G1269" s="3">
        <f>IF($E1269="","空卡",IF($F1269="","单卡","正常"))</f>
        <v/>
      </c>
      <c r="H1269" s="5">
        <f>IF($G1269="正常",ROUND(($F1269-$E1269)*1440,0),"")</f>
        <v/>
      </c>
      <c r="I1269" s="6">
        <f>IF($G1269="正常",$H1269/60,"")</f>
        <v/>
      </c>
      <c r="J1269" s="7">
        <f>IF($G1269="正常",ROUND($H1269/30,0)/2,"")</f>
        <v/>
      </c>
      <c r="K1269" s="7">
        <f>IF($G1269="正常",MIN($J1269,12),"")</f>
        <v/>
      </c>
      <c r="L1269" s="7">
        <f>IF($G1269="正常",MAX($J1269-12,0),"")</f>
        <v/>
      </c>
    </row>
    <row r="1270">
      <c r="A1270" s="3" t="inlineStr">
        <is>
          <t>吴光德</t>
        </is>
      </c>
      <c r="B1270" s="3" t="inlineStr">
        <is>
          <t>8/29</t>
        </is>
      </c>
      <c r="C1270" s="3" t="inlineStr">
        <is>
          <t>六</t>
        </is>
      </c>
      <c r="D1270" s="3" t="inlineStr">
        <is>
          <t>07:46 20:14</t>
        </is>
      </c>
      <c r="E1270" s="4" t="n">
        <v>0.3236111111111111</v>
      </c>
      <c r="F1270" s="4" t="n">
        <v>0.8430555555555556</v>
      </c>
      <c r="G1270" s="3">
        <f>IF($E1270="","空卡",IF($F1270="","单卡","正常"))</f>
        <v/>
      </c>
      <c r="H1270" s="5">
        <f>IF($G1270="正常",ROUND(($F1270-$E1270)*1440,0),"")</f>
        <v/>
      </c>
      <c r="I1270" s="6">
        <f>IF($G1270="正常",$H1270/60,"")</f>
        <v/>
      </c>
      <c r="J1270" s="7">
        <f>IF($G1270="正常",ROUND($H1270/30,0)/2,"")</f>
        <v/>
      </c>
      <c r="K1270" s="7">
        <f>IF($G1270="正常",MIN($J1270,12),"")</f>
        <v/>
      </c>
      <c r="L1270" s="7">
        <f>IF($G1270="正常",MAX($J1270-12,0),"")</f>
        <v/>
      </c>
    </row>
    <row r="1271">
      <c r="A1271" s="8" t="inlineStr">
        <is>
          <t>吴光德</t>
        </is>
      </c>
      <c r="B1271" s="8" t="inlineStr">
        <is>
          <t>8/30</t>
        </is>
      </c>
      <c r="C1271" s="8" t="inlineStr">
        <is>
          <t>日</t>
        </is>
      </c>
      <c r="D1271" s="8" t="inlineStr"/>
      <c r="E1271" s="9" t="n"/>
      <c r="F1271" s="9" t="n"/>
      <c r="G1271" s="10">
        <f>IF($E1271="","空卡",IF($F1271="","单卡","正常"))</f>
        <v/>
      </c>
      <c r="H1271" s="11">
        <f>IF($G1271="正常",ROUND(($F1271-$E1271)*1440,0),"")</f>
        <v/>
      </c>
      <c r="I1271" s="12">
        <f>IF($G1271="正常",$H1271/60,"")</f>
        <v/>
      </c>
      <c r="J1271" s="13">
        <f>IF($G1271="正常",ROUND($H1271/30,0)/2,"")</f>
        <v/>
      </c>
      <c r="K1271" s="13">
        <f>IF($G1271="正常",MIN($J1271,12),"")</f>
        <v/>
      </c>
      <c r="L1271" s="13">
        <f>IF($G1271="正常",MAX($J1271-12,0),"")</f>
        <v/>
      </c>
    </row>
    <row r="1272">
      <c r="A1272" s="8" t="inlineStr">
        <is>
          <t>吴光德</t>
        </is>
      </c>
      <c r="B1272" s="8" t="inlineStr">
        <is>
          <t>8/31</t>
        </is>
      </c>
      <c r="C1272" s="8" t="inlineStr">
        <is>
          <t>一</t>
        </is>
      </c>
      <c r="D1272" s="8" t="inlineStr"/>
      <c r="E1272" s="9" t="n"/>
      <c r="F1272" s="9" t="n"/>
      <c r="G1272" s="10">
        <f>IF($E1272="","空卡",IF($F1272="","单卡","正常"))</f>
        <v/>
      </c>
      <c r="H1272" s="11">
        <f>IF($G1272="正常",ROUND(($F1272-$E1272)*1440,0),"")</f>
        <v/>
      </c>
      <c r="I1272" s="12">
        <f>IF($G1272="正常",$H1272/60,"")</f>
        <v/>
      </c>
      <c r="J1272" s="13">
        <f>IF($G1272="正常",ROUND($H1272/30,0)/2,"")</f>
        <v/>
      </c>
      <c r="K1272" s="13">
        <f>IF($G1272="正常",MIN($J1272,12),"")</f>
        <v/>
      </c>
      <c r="L1272" s="13">
        <f>IF($G1272="正常",MAX($J1272-12,0),"")</f>
        <v/>
      </c>
    </row>
    <row r="1273">
      <c r="A1273" s="8" t="inlineStr">
        <is>
          <t>王林维</t>
        </is>
      </c>
      <c r="B1273" s="8" t="inlineStr">
        <is>
          <t>8/1</t>
        </is>
      </c>
      <c r="C1273" s="8" t="inlineStr">
        <is>
          <t>六</t>
        </is>
      </c>
      <c r="D1273" s="8" t="inlineStr"/>
      <c r="E1273" s="9" t="n"/>
      <c r="F1273" s="9" t="n"/>
      <c r="G1273" s="10">
        <f>IF($E1273="","空卡",IF($F1273="","单卡","正常"))</f>
        <v/>
      </c>
      <c r="H1273" s="11">
        <f>IF($G1273="正常",ROUND(($F1273-$E1273)*1440,0),"")</f>
        <v/>
      </c>
      <c r="I1273" s="12">
        <f>IF($G1273="正常",$H1273/60,"")</f>
        <v/>
      </c>
      <c r="J1273" s="13">
        <f>IF($G1273="正常",ROUND($H1273/30,0)/2,"")</f>
        <v/>
      </c>
      <c r="K1273" s="13">
        <f>IF($G1273="正常",MIN($J1273,12),"")</f>
        <v/>
      </c>
      <c r="L1273" s="13">
        <f>IF($G1273="正常",MAX($J1273-12,0),"")</f>
        <v/>
      </c>
    </row>
    <row r="1274">
      <c r="A1274" s="8" t="inlineStr">
        <is>
          <t>王林维</t>
        </is>
      </c>
      <c r="B1274" s="8" t="inlineStr">
        <is>
          <t>8/2</t>
        </is>
      </c>
      <c r="C1274" s="8" t="inlineStr">
        <is>
          <t>日</t>
        </is>
      </c>
      <c r="D1274" s="8" t="inlineStr"/>
      <c r="E1274" s="9" t="n"/>
      <c r="F1274" s="9" t="n"/>
      <c r="G1274" s="10">
        <f>IF($E1274="","空卡",IF($F1274="","单卡","正常"))</f>
        <v/>
      </c>
      <c r="H1274" s="11">
        <f>IF($G1274="正常",ROUND(($F1274-$E1274)*1440,0),"")</f>
        <v/>
      </c>
      <c r="I1274" s="12">
        <f>IF($G1274="正常",$H1274/60,"")</f>
        <v/>
      </c>
      <c r="J1274" s="13">
        <f>IF($G1274="正常",ROUND($H1274/30,0)/2,"")</f>
        <v/>
      </c>
      <c r="K1274" s="13">
        <f>IF($G1274="正常",MIN($J1274,12),"")</f>
        <v/>
      </c>
      <c r="L1274" s="13">
        <f>IF($G1274="正常",MAX($J1274-12,0),"")</f>
        <v/>
      </c>
    </row>
    <row r="1275">
      <c r="A1275" s="8" t="inlineStr">
        <is>
          <t>王林维</t>
        </is>
      </c>
      <c r="B1275" s="8" t="inlineStr">
        <is>
          <t>8/3</t>
        </is>
      </c>
      <c r="C1275" s="8" t="inlineStr">
        <is>
          <t>一</t>
        </is>
      </c>
      <c r="D1275" s="8" t="inlineStr"/>
      <c r="E1275" s="9" t="n"/>
      <c r="F1275" s="9" t="n"/>
      <c r="G1275" s="10">
        <f>IF($E1275="","空卡",IF($F1275="","单卡","正常"))</f>
        <v/>
      </c>
      <c r="H1275" s="11">
        <f>IF($G1275="正常",ROUND(($F1275-$E1275)*1440,0),"")</f>
        <v/>
      </c>
      <c r="I1275" s="12">
        <f>IF($G1275="正常",$H1275/60,"")</f>
        <v/>
      </c>
      <c r="J1275" s="13">
        <f>IF($G1275="正常",ROUND($H1275/30,0)/2,"")</f>
        <v/>
      </c>
      <c r="K1275" s="13">
        <f>IF($G1275="正常",MIN($J1275,12),"")</f>
        <v/>
      </c>
      <c r="L1275" s="13">
        <f>IF($G1275="正常",MAX($J1275-12,0),"")</f>
        <v/>
      </c>
    </row>
    <row r="1276">
      <c r="A1276" s="8" t="inlineStr">
        <is>
          <t>王林维</t>
        </is>
      </c>
      <c r="B1276" s="8" t="inlineStr">
        <is>
          <t>8/4</t>
        </is>
      </c>
      <c r="C1276" s="8" t="inlineStr">
        <is>
          <t>二</t>
        </is>
      </c>
      <c r="D1276" s="8" t="inlineStr"/>
      <c r="E1276" s="9" t="n"/>
      <c r="F1276" s="9" t="n"/>
      <c r="G1276" s="10">
        <f>IF($E1276="","空卡",IF($F1276="","单卡","正常"))</f>
        <v/>
      </c>
      <c r="H1276" s="11">
        <f>IF($G1276="正常",ROUND(($F1276-$E1276)*1440,0),"")</f>
        <v/>
      </c>
      <c r="I1276" s="12">
        <f>IF($G1276="正常",$H1276/60,"")</f>
        <v/>
      </c>
      <c r="J1276" s="13">
        <f>IF($G1276="正常",ROUND($H1276/30,0)/2,"")</f>
        <v/>
      </c>
      <c r="K1276" s="13">
        <f>IF($G1276="正常",MIN($J1276,12),"")</f>
        <v/>
      </c>
      <c r="L1276" s="13">
        <f>IF($G1276="正常",MAX($J1276-12,0),"")</f>
        <v/>
      </c>
    </row>
    <row r="1277">
      <c r="A1277" s="8" t="inlineStr">
        <is>
          <t>王林维</t>
        </is>
      </c>
      <c r="B1277" s="8" t="inlineStr">
        <is>
          <t>8/5</t>
        </is>
      </c>
      <c r="C1277" s="8" t="inlineStr">
        <is>
          <t>三</t>
        </is>
      </c>
      <c r="D1277" s="8" t="inlineStr"/>
      <c r="E1277" s="9" t="n"/>
      <c r="F1277" s="9" t="n"/>
      <c r="G1277" s="10">
        <f>IF($E1277="","空卡",IF($F1277="","单卡","正常"))</f>
        <v/>
      </c>
      <c r="H1277" s="11">
        <f>IF($G1277="正常",ROUND(($F1277-$E1277)*1440,0),"")</f>
        <v/>
      </c>
      <c r="I1277" s="12">
        <f>IF($G1277="正常",$H1277/60,"")</f>
        <v/>
      </c>
      <c r="J1277" s="13">
        <f>IF($G1277="正常",ROUND($H1277/30,0)/2,"")</f>
        <v/>
      </c>
      <c r="K1277" s="13">
        <f>IF($G1277="正常",MIN($J1277,12),"")</f>
        <v/>
      </c>
      <c r="L1277" s="13">
        <f>IF($G1277="正常",MAX($J1277-12,0),"")</f>
        <v/>
      </c>
    </row>
    <row r="1278">
      <c r="A1278" s="8" t="inlineStr">
        <is>
          <t>王林维</t>
        </is>
      </c>
      <c r="B1278" s="8" t="inlineStr">
        <is>
          <t>8/6</t>
        </is>
      </c>
      <c r="C1278" s="8" t="inlineStr">
        <is>
          <t>四</t>
        </is>
      </c>
      <c r="D1278" s="8" t="inlineStr"/>
      <c r="E1278" s="9" t="n"/>
      <c r="F1278" s="9" t="n"/>
      <c r="G1278" s="10">
        <f>IF($E1278="","空卡",IF($F1278="","单卡","正常"))</f>
        <v/>
      </c>
      <c r="H1278" s="11">
        <f>IF($G1278="正常",ROUND(($F1278-$E1278)*1440,0),"")</f>
        <v/>
      </c>
      <c r="I1278" s="12">
        <f>IF($G1278="正常",$H1278/60,"")</f>
        <v/>
      </c>
      <c r="J1278" s="13">
        <f>IF($G1278="正常",ROUND($H1278/30,0)/2,"")</f>
        <v/>
      </c>
      <c r="K1278" s="13">
        <f>IF($G1278="正常",MIN($J1278,12),"")</f>
        <v/>
      </c>
      <c r="L1278" s="13">
        <f>IF($G1278="正常",MAX($J1278-12,0),"")</f>
        <v/>
      </c>
    </row>
    <row r="1279">
      <c r="A1279" s="8" t="inlineStr">
        <is>
          <t>王林维</t>
        </is>
      </c>
      <c r="B1279" s="8" t="inlineStr">
        <is>
          <t>8/7</t>
        </is>
      </c>
      <c r="C1279" s="8" t="inlineStr">
        <is>
          <t>五</t>
        </is>
      </c>
      <c r="D1279" s="8" t="inlineStr"/>
      <c r="E1279" s="9" t="n"/>
      <c r="F1279" s="9" t="n"/>
      <c r="G1279" s="10">
        <f>IF($E1279="","空卡",IF($F1279="","单卡","正常"))</f>
        <v/>
      </c>
      <c r="H1279" s="11">
        <f>IF($G1279="正常",ROUND(($F1279-$E1279)*1440,0),"")</f>
        <v/>
      </c>
      <c r="I1279" s="12">
        <f>IF($G1279="正常",$H1279/60,"")</f>
        <v/>
      </c>
      <c r="J1279" s="13">
        <f>IF($G1279="正常",ROUND($H1279/30,0)/2,"")</f>
        <v/>
      </c>
      <c r="K1279" s="13">
        <f>IF($G1279="正常",MIN($J1279,12),"")</f>
        <v/>
      </c>
      <c r="L1279" s="13">
        <f>IF($G1279="正常",MAX($J1279-12,0),"")</f>
        <v/>
      </c>
    </row>
    <row r="1280">
      <c r="A1280" s="8" t="inlineStr">
        <is>
          <t>王林维</t>
        </is>
      </c>
      <c r="B1280" s="8" t="inlineStr">
        <is>
          <t>8/8</t>
        </is>
      </c>
      <c r="C1280" s="8" t="inlineStr">
        <is>
          <t>六</t>
        </is>
      </c>
      <c r="D1280" s="8" t="inlineStr"/>
      <c r="E1280" s="9" t="n"/>
      <c r="F1280" s="9" t="n"/>
      <c r="G1280" s="10">
        <f>IF($E1280="","空卡",IF($F1280="","单卡","正常"))</f>
        <v/>
      </c>
      <c r="H1280" s="11">
        <f>IF($G1280="正常",ROUND(($F1280-$E1280)*1440,0),"")</f>
        <v/>
      </c>
      <c r="I1280" s="12">
        <f>IF($G1280="正常",$H1280/60,"")</f>
        <v/>
      </c>
      <c r="J1280" s="13">
        <f>IF($G1280="正常",ROUND($H1280/30,0)/2,"")</f>
        <v/>
      </c>
      <c r="K1280" s="13">
        <f>IF($G1280="正常",MIN($J1280,12),"")</f>
        <v/>
      </c>
      <c r="L1280" s="13">
        <f>IF($G1280="正常",MAX($J1280-12,0),"")</f>
        <v/>
      </c>
    </row>
    <row r="1281">
      <c r="A1281" s="8" t="inlineStr">
        <is>
          <t>王林维</t>
        </is>
      </c>
      <c r="B1281" s="8" t="inlineStr">
        <is>
          <t>8/9</t>
        </is>
      </c>
      <c r="C1281" s="8" t="inlineStr">
        <is>
          <t>日</t>
        </is>
      </c>
      <c r="D1281" s="8" t="inlineStr"/>
      <c r="E1281" s="9" t="n"/>
      <c r="F1281" s="9" t="n"/>
      <c r="G1281" s="10">
        <f>IF($E1281="","空卡",IF($F1281="","单卡","正常"))</f>
        <v/>
      </c>
      <c r="H1281" s="11">
        <f>IF($G1281="正常",ROUND(($F1281-$E1281)*1440,0),"")</f>
        <v/>
      </c>
      <c r="I1281" s="12">
        <f>IF($G1281="正常",$H1281/60,"")</f>
        <v/>
      </c>
      <c r="J1281" s="13">
        <f>IF($G1281="正常",ROUND($H1281/30,0)/2,"")</f>
        <v/>
      </c>
      <c r="K1281" s="13">
        <f>IF($G1281="正常",MIN($J1281,12),"")</f>
        <v/>
      </c>
      <c r="L1281" s="13">
        <f>IF($G1281="正常",MAX($J1281-12,0),"")</f>
        <v/>
      </c>
    </row>
    <row r="1282">
      <c r="A1282" s="8" t="inlineStr">
        <is>
          <t>王林维</t>
        </is>
      </c>
      <c r="B1282" s="8" t="inlineStr">
        <is>
          <t>8/10</t>
        </is>
      </c>
      <c r="C1282" s="8" t="inlineStr">
        <is>
          <t>一</t>
        </is>
      </c>
      <c r="D1282" s="8" t="inlineStr"/>
      <c r="E1282" s="9" t="n"/>
      <c r="F1282" s="9" t="n"/>
      <c r="G1282" s="10">
        <f>IF($E1282="","空卡",IF($F1282="","单卡","正常"))</f>
        <v/>
      </c>
      <c r="H1282" s="11">
        <f>IF($G1282="正常",ROUND(($F1282-$E1282)*1440,0),"")</f>
        <v/>
      </c>
      <c r="I1282" s="12">
        <f>IF($G1282="正常",$H1282/60,"")</f>
        <v/>
      </c>
      <c r="J1282" s="13">
        <f>IF($G1282="正常",ROUND($H1282/30,0)/2,"")</f>
        <v/>
      </c>
      <c r="K1282" s="13">
        <f>IF($G1282="正常",MIN($J1282,12),"")</f>
        <v/>
      </c>
      <c r="L1282" s="13">
        <f>IF($G1282="正常",MAX($J1282-12,0),"")</f>
        <v/>
      </c>
    </row>
    <row r="1283">
      <c r="A1283" s="8" t="inlineStr">
        <is>
          <t>王林维</t>
        </is>
      </c>
      <c r="B1283" s="8" t="inlineStr">
        <is>
          <t>8/11</t>
        </is>
      </c>
      <c r="C1283" s="8" t="inlineStr">
        <is>
          <t>二</t>
        </is>
      </c>
      <c r="D1283" s="8" t="inlineStr"/>
      <c r="E1283" s="9" t="n"/>
      <c r="F1283" s="9" t="n"/>
      <c r="G1283" s="10">
        <f>IF($E1283="","空卡",IF($F1283="","单卡","正常"))</f>
        <v/>
      </c>
      <c r="H1283" s="11">
        <f>IF($G1283="正常",ROUND(($F1283-$E1283)*1440,0),"")</f>
        <v/>
      </c>
      <c r="I1283" s="12">
        <f>IF($G1283="正常",$H1283/60,"")</f>
        <v/>
      </c>
      <c r="J1283" s="13">
        <f>IF($G1283="正常",ROUND($H1283/30,0)/2,"")</f>
        <v/>
      </c>
      <c r="K1283" s="13">
        <f>IF($G1283="正常",MIN($J1283,12),"")</f>
        <v/>
      </c>
      <c r="L1283" s="13">
        <f>IF($G1283="正常",MAX($J1283-12,0),"")</f>
        <v/>
      </c>
    </row>
    <row r="1284">
      <c r="A1284" s="8" t="inlineStr">
        <is>
          <t>王林维</t>
        </is>
      </c>
      <c r="B1284" s="8" t="inlineStr">
        <is>
          <t>8/12</t>
        </is>
      </c>
      <c r="C1284" s="8" t="inlineStr">
        <is>
          <t>三</t>
        </is>
      </c>
      <c r="D1284" s="8" t="inlineStr"/>
      <c r="E1284" s="9" t="n"/>
      <c r="F1284" s="9" t="n"/>
      <c r="G1284" s="10">
        <f>IF($E1284="","空卡",IF($F1284="","单卡","正常"))</f>
        <v/>
      </c>
      <c r="H1284" s="11">
        <f>IF($G1284="正常",ROUND(($F1284-$E1284)*1440,0),"")</f>
        <v/>
      </c>
      <c r="I1284" s="12">
        <f>IF($G1284="正常",$H1284/60,"")</f>
        <v/>
      </c>
      <c r="J1284" s="13">
        <f>IF($G1284="正常",ROUND($H1284/30,0)/2,"")</f>
        <v/>
      </c>
      <c r="K1284" s="13">
        <f>IF($G1284="正常",MIN($J1284,12),"")</f>
        <v/>
      </c>
      <c r="L1284" s="13">
        <f>IF($G1284="正常",MAX($J1284-12,0),"")</f>
        <v/>
      </c>
    </row>
    <row r="1285">
      <c r="A1285" s="8" t="inlineStr">
        <is>
          <t>王林维</t>
        </is>
      </c>
      <c r="B1285" s="8" t="inlineStr">
        <is>
          <t>8/13</t>
        </is>
      </c>
      <c r="C1285" s="8" t="inlineStr">
        <is>
          <t>四</t>
        </is>
      </c>
      <c r="D1285" s="8" t="inlineStr"/>
      <c r="E1285" s="9" t="n"/>
      <c r="F1285" s="9" t="n"/>
      <c r="G1285" s="10">
        <f>IF($E1285="","空卡",IF($F1285="","单卡","正常"))</f>
        <v/>
      </c>
      <c r="H1285" s="11">
        <f>IF($G1285="正常",ROUND(($F1285-$E1285)*1440,0),"")</f>
        <v/>
      </c>
      <c r="I1285" s="12">
        <f>IF($G1285="正常",$H1285/60,"")</f>
        <v/>
      </c>
      <c r="J1285" s="13">
        <f>IF($G1285="正常",ROUND($H1285/30,0)/2,"")</f>
        <v/>
      </c>
      <c r="K1285" s="13">
        <f>IF($G1285="正常",MIN($J1285,12),"")</f>
        <v/>
      </c>
      <c r="L1285" s="13">
        <f>IF($G1285="正常",MAX($J1285-12,0),"")</f>
        <v/>
      </c>
    </row>
    <row r="1286">
      <c r="A1286" s="8" t="inlineStr">
        <is>
          <t>王林维</t>
        </is>
      </c>
      <c r="B1286" s="8" t="inlineStr">
        <is>
          <t>8/14</t>
        </is>
      </c>
      <c r="C1286" s="8" t="inlineStr">
        <is>
          <t>五</t>
        </is>
      </c>
      <c r="D1286" s="8" t="inlineStr"/>
      <c r="E1286" s="9" t="n"/>
      <c r="F1286" s="9" t="n"/>
      <c r="G1286" s="10">
        <f>IF($E1286="","空卡",IF($F1286="","单卡","正常"))</f>
        <v/>
      </c>
      <c r="H1286" s="11">
        <f>IF($G1286="正常",ROUND(($F1286-$E1286)*1440,0),"")</f>
        <v/>
      </c>
      <c r="I1286" s="12">
        <f>IF($G1286="正常",$H1286/60,"")</f>
        <v/>
      </c>
      <c r="J1286" s="13">
        <f>IF($G1286="正常",ROUND($H1286/30,0)/2,"")</f>
        <v/>
      </c>
      <c r="K1286" s="13">
        <f>IF($G1286="正常",MIN($J1286,12),"")</f>
        <v/>
      </c>
      <c r="L1286" s="13">
        <f>IF($G1286="正常",MAX($J1286-12,0),"")</f>
        <v/>
      </c>
    </row>
    <row r="1287">
      <c r="A1287" s="8" t="inlineStr">
        <is>
          <t>王林维</t>
        </is>
      </c>
      <c r="B1287" s="8" t="inlineStr">
        <is>
          <t>8/15</t>
        </is>
      </c>
      <c r="C1287" s="8" t="inlineStr">
        <is>
          <t>六</t>
        </is>
      </c>
      <c r="D1287" s="8" t="inlineStr"/>
      <c r="E1287" s="9" t="n"/>
      <c r="F1287" s="9" t="n"/>
      <c r="G1287" s="10">
        <f>IF($E1287="","空卡",IF($F1287="","单卡","正常"))</f>
        <v/>
      </c>
      <c r="H1287" s="11">
        <f>IF($G1287="正常",ROUND(($F1287-$E1287)*1440,0),"")</f>
        <v/>
      </c>
      <c r="I1287" s="12">
        <f>IF($G1287="正常",$H1287/60,"")</f>
        <v/>
      </c>
      <c r="J1287" s="13">
        <f>IF($G1287="正常",ROUND($H1287/30,0)/2,"")</f>
        <v/>
      </c>
      <c r="K1287" s="13">
        <f>IF($G1287="正常",MIN($J1287,12),"")</f>
        <v/>
      </c>
      <c r="L1287" s="13">
        <f>IF($G1287="正常",MAX($J1287-12,0),"")</f>
        <v/>
      </c>
    </row>
    <row r="1288">
      <c r="A1288" s="8" t="inlineStr">
        <is>
          <t>王林维</t>
        </is>
      </c>
      <c r="B1288" s="8" t="inlineStr">
        <is>
          <t>8/16</t>
        </is>
      </c>
      <c r="C1288" s="8" t="inlineStr">
        <is>
          <t>日</t>
        </is>
      </c>
      <c r="D1288" s="8" t="inlineStr"/>
      <c r="E1288" s="9" t="n"/>
      <c r="F1288" s="9" t="n"/>
      <c r="G1288" s="10">
        <f>IF($E1288="","空卡",IF($F1288="","单卡","正常"))</f>
        <v/>
      </c>
      <c r="H1288" s="11">
        <f>IF($G1288="正常",ROUND(($F1288-$E1288)*1440,0),"")</f>
        <v/>
      </c>
      <c r="I1288" s="12">
        <f>IF($G1288="正常",$H1288/60,"")</f>
        <v/>
      </c>
      <c r="J1288" s="13">
        <f>IF($G1288="正常",ROUND($H1288/30,0)/2,"")</f>
        <v/>
      </c>
      <c r="K1288" s="13">
        <f>IF($G1288="正常",MIN($J1288,12),"")</f>
        <v/>
      </c>
      <c r="L1288" s="13">
        <f>IF($G1288="正常",MAX($J1288-12,0),"")</f>
        <v/>
      </c>
    </row>
    <row r="1289">
      <c r="A1289" s="8" t="inlineStr">
        <is>
          <t>王林维</t>
        </is>
      </c>
      <c r="B1289" s="8" t="inlineStr">
        <is>
          <t>8/17</t>
        </is>
      </c>
      <c r="C1289" s="8" t="inlineStr">
        <is>
          <t>一</t>
        </is>
      </c>
      <c r="D1289" s="8" t="inlineStr"/>
      <c r="E1289" s="9" t="n"/>
      <c r="F1289" s="9" t="n"/>
      <c r="G1289" s="10">
        <f>IF($E1289="","空卡",IF($F1289="","单卡","正常"))</f>
        <v/>
      </c>
      <c r="H1289" s="11">
        <f>IF($G1289="正常",ROUND(($F1289-$E1289)*1440,0),"")</f>
        <v/>
      </c>
      <c r="I1289" s="12">
        <f>IF($G1289="正常",$H1289/60,"")</f>
        <v/>
      </c>
      <c r="J1289" s="13">
        <f>IF($G1289="正常",ROUND($H1289/30,0)/2,"")</f>
        <v/>
      </c>
      <c r="K1289" s="13">
        <f>IF($G1289="正常",MIN($J1289,12),"")</f>
        <v/>
      </c>
      <c r="L1289" s="13">
        <f>IF($G1289="正常",MAX($J1289-12,0),"")</f>
        <v/>
      </c>
    </row>
    <row r="1290">
      <c r="A1290" s="8" t="inlineStr">
        <is>
          <t>王林维</t>
        </is>
      </c>
      <c r="B1290" s="8" t="inlineStr">
        <is>
          <t>8/18</t>
        </is>
      </c>
      <c r="C1290" s="8" t="inlineStr">
        <is>
          <t>二</t>
        </is>
      </c>
      <c r="D1290" s="8" t="inlineStr"/>
      <c r="E1290" s="9" t="n"/>
      <c r="F1290" s="9" t="n"/>
      <c r="G1290" s="10">
        <f>IF($E1290="","空卡",IF($F1290="","单卡","正常"))</f>
        <v/>
      </c>
      <c r="H1290" s="11">
        <f>IF($G1290="正常",ROUND(($F1290-$E1290)*1440,0),"")</f>
        <v/>
      </c>
      <c r="I1290" s="12">
        <f>IF($G1290="正常",$H1290/60,"")</f>
        <v/>
      </c>
      <c r="J1290" s="13">
        <f>IF($G1290="正常",ROUND($H1290/30,0)/2,"")</f>
        <v/>
      </c>
      <c r="K1290" s="13">
        <f>IF($G1290="正常",MIN($J1290,12),"")</f>
        <v/>
      </c>
      <c r="L1290" s="13">
        <f>IF($G1290="正常",MAX($J1290-12,0),"")</f>
        <v/>
      </c>
    </row>
    <row r="1291">
      <c r="A1291" s="8" t="inlineStr">
        <is>
          <t>王林维</t>
        </is>
      </c>
      <c r="B1291" s="8" t="inlineStr">
        <is>
          <t>8/19</t>
        </is>
      </c>
      <c r="C1291" s="8" t="inlineStr">
        <is>
          <t>三</t>
        </is>
      </c>
      <c r="D1291" s="8" t="inlineStr"/>
      <c r="E1291" s="9" t="n"/>
      <c r="F1291" s="9" t="n"/>
      <c r="G1291" s="10">
        <f>IF($E1291="","空卡",IF($F1291="","单卡","正常"))</f>
        <v/>
      </c>
      <c r="H1291" s="11">
        <f>IF($G1291="正常",ROUND(($F1291-$E1291)*1440,0),"")</f>
        <v/>
      </c>
      <c r="I1291" s="12">
        <f>IF($G1291="正常",$H1291/60,"")</f>
        <v/>
      </c>
      <c r="J1291" s="13">
        <f>IF($G1291="正常",ROUND($H1291/30,0)/2,"")</f>
        <v/>
      </c>
      <c r="K1291" s="13">
        <f>IF($G1291="正常",MIN($J1291,12),"")</f>
        <v/>
      </c>
      <c r="L1291" s="13">
        <f>IF($G1291="正常",MAX($J1291-12,0),"")</f>
        <v/>
      </c>
    </row>
    <row r="1292">
      <c r="A1292" s="8" t="inlineStr">
        <is>
          <t>王林维</t>
        </is>
      </c>
      <c r="B1292" s="8" t="inlineStr">
        <is>
          <t>8/20</t>
        </is>
      </c>
      <c r="C1292" s="8" t="inlineStr">
        <is>
          <t>四</t>
        </is>
      </c>
      <c r="D1292" s="8" t="inlineStr"/>
      <c r="E1292" s="9" t="n"/>
      <c r="F1292" s="9" t="n"/>
      <c r="G1292" s="10">
        <f>IF($E1292="","空卡",IF($F1292="","单卡","正常"))</f>
        <v/>
      </c>
      <c r="H1292" s="11">
        <f>IF($G1292="正常",ROUND(($F1292-$E1292)*1440,0),"")</f>
        <v/>
      </c>
      <c r="I1292" s="12">
        <f>IF($G1292="正常",$H1292/60,"")</f>
        <v/>
      </c>
      <c r="J1292" s="13">
        <f>IF($G1292="正常",ROUND($H1292/30,0)/2,"")</f>
        <v/>
      </c>
      <c r="K1292" s="13">
        <f>IF($G1292="正常",MIN($J1292,12),"")</f>
        <v/>
      </c>
      <c r="L1292" s="13">
        <f>IF($G1292="正常",MAX($J1292-12,0),"")</f>
        <v/>
      </c>
    </row>
    <row r="1293">
      <c r="A1293" s="8" t="inlineStr">
        <is>
          <t>王林维</t>
        </is>
      </c>
      <c r="B1293" s="8" t="inlineStr">
        <is>
          <t>8/21</t>
        </is>
      </c>
      <c r="C1293" s="8" t="inlineStr">
        <is>
          <t>五</t>
        </is>
      </c>
      <c r="D1293" s="8" t="inlineStr"/>
      <c r="E1293" s="9" t="n"/>
      <c r="F1293" s="9" t="n"/>
      <c r="G1293" s="10">
        <f>IF($E1293="","空卡",IF($F1293="","单卡","正常"))</f>
        <v/>
      </c>
      <c r="H1293" s="11">
        <f>IF($G1293="正常",ROUND(($F1293-$E1293)*1440,0),"")</f>
        <v/>
      </c>
      <c r="I1293" s="12">
        <f>IF($G1293="正常",$H1293/60,"")</f>
        <v/>
      </c>
      <c r="J1293" s="13">
        <f>IF($G1293="正常",ROUND($H1293/30,0)/2,"")</f>
        <v/>
      </c>
      <c r="K1293" s="13">
        <f>IF($G1293="正常",MIN($J1293,12),"")</f>
        <v/>
      </c>
      <c r="L1293" s="13">
        <f>IF($G1293="正常",MAX($J1293-12,0),"")</f>
        <v/>
      </c>
    </row>
    <row r="1294">
      <c r="A1294" s="8" t="inlineStr">
        <is>
          <t>王林维</t>
        </is>
      </c>
      <c r="B1294" s="8" t="inlineStr">
        <is>
          <t>8/22</t>
        </is>
      </c>
      <c r="C1294" s="8" t="inlineStr">
        <is>
          <t>六</t>
        </is>
      </c>
      <c r="D1294" s="8" t="inlineStr"/>
      <c r="E1294" s="9" t="n"/>
      <c r="F1294" s="9" t="n"/>
      <c r="G1294" s="10">
        <f>IF($E1294="","空卡",IF($F1294="","单卡","正常"))</f>
        <v/>
      </c>
      <c r="H1294" s="11">
        <f>IF($G1294="正常",ROUND(($F1294-$E1294)*1440,0),"")</f>
        <v/>
      </c>
      <c r="I1294" s="12">
        <f>IF($G1294="正常",$H1294/60,"")</f>
        <v/>
      </c>
      <c r="J1294" s="13">
        <f>IF($G1294="正常",ROUND($H1294/30,0)/2,"")</f>
        <v/>
      </c>
      <c r="K1294" s="13">
        <f>IF($G1294="正常",MIN($J1294,12),"")</f>
        <v/>
      </c>
      <c r="L1294" s="13">
        <f>IF($G1294="正常",MAX($J1294-12,0),"")</f>
        <v/>
      </c>
    </row>
    <row r="1295">
      <c r="A1295" s="8" t="inlineStr">
        <is>
          <t>王林维</t>
        </is>
      </c>
      <c r="B1295" s="8" t="inlineStr">
        <is>
          <t>8/23</t>
        </is>
      </c>
      <c r="C1295" s="8" t="inlineStr">
        <is>
          <t>日</t>
        </is>
      </c>
      <c r="D1295" s="8" t="inlineStr"/>
      <c r="E1295" s="9" t="n"/>
      <c r="F1295" s="9" t="n"/>
      <c r="G1295" s="10">
        <f>IF($E1295="","空卡",IF($F1295="","单卡","正常"))</f>
        <v/>
      </c>
      <c r="H1295" s="11">
        <f>IF($G1295="正常",ROUND(($F1295-$E1295)*1440,0),"")</f>
        <v/>
      </c>
      <c r="I1295" s="12">
        <f>IF($G1295="正常",$H1295/60,"")</f>
        <v/>
      </c>
      <c r="J1295" s="13">
        <f>IF($G1295="正常",ROUND($H1295/30,0)/2,"")</f>
        <v/>
      </c>
      <c r="K1295" s="13">
        <f>IF($G1295="正常",MIN($J1295,12),"")</f>
        <v/>
      </c>
      <c r="L1295" s="13">
        <f>IF($G1295="正常",MAX($J1295-12,0),"")</f>
        <v/>
      </c>
    </row>
    <row r="1296">
      <c r="A1296" s="8" t="inlineStr">
        <is>
          <t>王林维</t>
        </is>
      </c>
      <c r="B1296" s="8" t="inlineStr">
        <is>
          <t>8/24</t>
        </is>
      </c>
      <c r="C1296" s="8" t="inlineStr">
        <is>
          <t>一</t>
        </is>
      </c>
      <c r="D1296" s="8" t="inlineStr"/>
      <c r="E1296" s="9" t="n"/>
      <c r="F1296" s="9" t="n"/>
      <c r="G1296" s="10">
        <f>IF($E1296="","空卡",IF($F1296="","单卡","正常"))</f>
        <v/>
      </c>
      <c r="H1296" s="11">
        <f>IF($G1296="正常",ROUND(($F1296-$E1296)*1440,0),"")</f>
        <v/>
      </c>
      <c r="I1296" s="12">
        <f>IF($G1296="正常",$H1296/60,"")</f>
        <v/>
      </c>
      <c r="J1296" s="13">
        <f>IF($G1296="正常",ROUND($H1296/30,0)/2,"")</f>
        <v/>
      </c>
      <c r="K1296" s="13">
        <f>IF($G1296="正常",MIN($J1296,12),"")</f>
        <v/>
      </c>
      <c r="L1296" s="13">
        <f>IF($G1296="正常",MAX($J1296-12,0),"")</f>
        <v/>
      </c>
    </row>
    <row r="1297">
      <c r="A1297" s="8" t="inlineStr">
        <is>
          <t>王林维</t>
        </is>
      </c>
      <c r="B1297" s="8" t="inlineStr">
        <is>
          <t>8/25</t>
        </is>
      </c>
      <c r="C1297" s="8" t="inlineStr">
        <is>
          <t>二</t>
        </is>
      </c>
      <c r="D1297" s="8" t="inlineStr"/>
      <c r="E1297" s="9" t="n"/>
      <c r="F1297" s="9" t="n"/>
      <c r="G1297" s="10">
        <f>IF($E1297="","空卡",IF($F1297="","单卡","正常"))</f>
        <v/>
      </c>
      <c r="H1297" s="11">
        <f>IF($G1297="正常",ROUND(($F1297-$E1297)*1440,0),"")</f>
        <v/>
      </c>
      <c r="I1297" s="12">
        <f>IF($G1297="正常",$H1297/60,"")</f>
        <v/>
      </c>
      <c r="J1297" s="13">
        <f>IF($G1297="正常",ROUND($H1297/30,0)/2,"")</f>
        <v/>
      </c>
      <c r="K1297" s="13">
        <f>IF($G1297="正常",MIN($J1297,12),"")</f>
        <v/>
      </c>
      <c r="L1297" s="13">
        <f>IF($G1297="正常",MAX($J1297-12,0),"")</f>
        <v/>
      </c>
    </row>
    <row r="1298">
      <c r="A1298" s="8" t="inlineStr">
        <is>
          <t>王林维</t>
        </is>
      </c>
      <c r="B1298" s="8" t="inlineStr">
        <is>
          <t>8/26</t>
        </is>
      </c>
      <c r="C1298" s="8" t="inlineStr">
        <is>
          <t>三</t>
        </is>
      </c>
      <c r="D1298" s="8" t="inlineStr"/>
      <c r="E1298" s="9" t="n"/>
      <c r="F1298" s="9" t="n"/>
      <c r="G1298" s="10">
        <f>IF($E1298="","空卡",IF($F1298="","单卡","正常"))</f>
        <v/>
      </c>
      <c r="H1298" s="11">
        <f>IF($G1298="正常",ROUND(($F1298-$E1298)*1440,0),"")</f>
        <v/>
      </c>
      <c r="I1298" s="12">
        <f>IF($G1298="正常",$H1298/60,"")</f>
        <v/>
      </c>
      <c r="J1298" s="13">
        <f>IF($G1298="正常",ROUND($H1298/30,0)/2,"")</f>
        <v/>
      </c>
      <c r="K1298" s="13">
        <f>IF($G1298="正常",MIN($J1298,12),"")</f>
        <v/>
      </c>
      <c r="L1298" s="13">
        <f>IF($G1298="正常",MAX($J1298-12,0),"")</f>
        <v/>
      </c>
    </row>
    <row r="1299">
      <c r="A1299" s="8" t="inlineStr">
        <is>
          <t>王林维</t>
        </is>
      </c>
      <c r="B1299" s="8" t="inlineStr">
        <is>
          <t>8/27</t>
        </is>
      </c>
      <c r="C1299" s="8" t="inlineStr">
        <is>
          <t>四</t>
        </is>
      </c>
      <c r="D1299" s="8" t="inlineStr"/>
      <c r="E1299" s="9" t="n"/>
      <c r="F1299" s="9" t="n"/>
      <c r="G1299" s="10">
        <f>IF($E1299="","空卡",IF($F1299="","单卡","正常"))</f>
        <v/>
      </c>
      <c r="H1299" s="11">
        <f>IF($G1299="正常",ROUND(($F1299-$E1299)*1440,0),"")</f>
        <v/>
      </c>
      <c r="I1299" s="12">
        <f>IF($G1299="正常",$H1299/60,"")</f>
        <v/>
      </c>
      <c r="J1299" s="13">
        <f>IF($G1299="正常",ROUND($H1299/30,0)/2,"")</f>
        <v/>
      </c>
      <c r="K1299" s="13">
        <f>IF($G1299="正常",MIN($J1299,12),"")</f>
        <v/>
      </c>
      <c r="L1299" s="13">
        <f>IF($G1299="正常",MAX($J1299-12,0),"")</f>
        <v/>
      </c>
    </row>
    <row r="1300">
      <c r="A1300" s="8" t="inlineStr">
        <is>
          <t>王林维</t>
        </is>
      </c>
      <c r="B1300" s="8" t="inlineStr">
        <is>
          <t>8/28</t>
        </is>
      </c>
      <c r="C1300" s="8" t="inlineStr">
        <is>
          <t>五</t>
        </is>
      </c>
      <c r="D1300" s="8" t="inlineStr"/>
      <c r="E1300" s="9" t="n"/>
      <c r="F1300" s="9" t="n"/>
      <c r="G1300" s="10">
        <f>IF($E1300="","空卡",IF($F1300="","单卡","正常"))</f>
        <v/>
      </c>
      <c r="H1300" s="11">
        <f>IF($G1300="正常",ROUND(($F1300-$E1300)*1440,0),"")</f>
        <v/>
      </c>
      <c r="I1300" s="12">
        <f>IF($G1300="正常",$H1300/60,"")</f>
        <v/>
      </c>
      <c r="J1300" s="13">
        <f>IF($G1300="正常",ROUND($H1300/30,0)/2,"")</f>
        <v/>
      </c>
      <c r="K1300" s="13">
        <f>IF($G1300="正常",MIN($J1300,12),"")</f>
        <v/>
      </c>
      <c r="L1300" s="13">
        <f>IF($G1300="正常",MAX($J1300-12,0),"")</f>
        <v/>
      </c>
    </row>
    <row r="1301">
      <c r="A1301" s="8" t="inlineStr">
        <is>
          <t>王林维</t>
        </is>
      </c>
      <c r="B1301" s="8" t="inlineStr">
        <is>
          <t>8/29</t>
        </is>
      </c>
      <c r="C1301" s="8" t="inlineStr">
        <is>
          <t>六</t>
        </is>
      </c>
      <c r="D1301" s="8" t="inlineStr"/>
      <c r="E1301" s="9" t="n"/>
      <c r="F1301" s="9" t="n"/>
      <c r="G1301" s="10">
        <f>IF($E1301="","空卡",IF($F1301="","单卡","正常"))</f>
        <v/>
      </c>
      <c r="H1301" s="11">
        <f>IF($G1301="正常",ROUND(($F1301-$E1301)*1440,0),"")</f>
        <v/>
      </c>
      <c r="I1301" s="12">
        <f>IF($G1301="正常",$H1301/60,"")</f>
        <v/>
      </c>
      <c r="J1301" s="13">
        <f>IF($G1301="正常",ROUND($H1301/30,0)/2,"")</f>
        <v/>
      </c>
      <c r="K1301" s="13">
        <f>IF($G1301="正常",MIN($J1301,12),"")</f>
        <v/>
      </c>
      <c r="L1301" s="13">
        <f>IF($G1301="正常",MAX($J1301-12,0),"")</f>
        <v/>
      </c>
    </row>
    <row r="1302">
      <c r="A1302" s="8" t="inlineStr">
        <is>
          <t>王林维</t>
        </is>
      </c>
      <c r="B1302" s="8" t="inlineStr">
        <is>
          <t>8/30</t>
        </is>
      </c>
      <c r="C1302" s="8" t="inlineStr">
        <is>
          <t>日</t>
        </is>
      </c>
      <c r="D1302" s="8" t="inlineStr"/>
      <c r="E1302" s="9" t="n"/>
      <c r="F1302" s="9" t="n"/>
      <c r="G1302" s="10">
        <f>IF($E1302="","空卡",IF($F1302="","单卡","正常"))</f>
        <v/>
      </c>
      <c r="H1302" s="11">
        <f>IF($G1302="正常",ROUND(($F1302-$E1302)*1440,0),"")</f>
        <v/>
      </c>
      <c r="I1302" s="12">
        <f>IF($G1302="正常",$H1302/60,"")</f>
        <v/>
      </c>
      <c r="J1302" s="13">
        <f>IF($G1302="正常",ROUND($H1302/30,0)/2,"")</f>
        <v/>
      </c>
      <c r="K1302" s="13">
        <f>IF($G1302="正常",MIN($J1302,12),"")</f>
        <v/>
      </c>
      <c r="L1302" s="13">
        <f>IF($G1302="正常",MAX($J1302-12,0),"")</f>
        <v/>
      </c>
    </row>
    <row r="1303">
      <c r="A1303" s="8" t="inlineStr">
        <is>
          <t>王林维</t>
        </is>
      </c>
      <c r="B1303" s="8" t="inlineStr">
        <is>
          <t>8/31</t>
        </is>
      </c>
      <c r="C1303" s="8" t="inlineStr">
        <is>
          <t>一</t>
        </is>
      </c>
      <c r="D1303" s="8" t="inlineStr"/>
      <c r="E1303" s="9" t="n"/>
      <c r="F1303" s="9" t="n"/>
      <c r="G1303" s="10">
        <f>IF($E1303="","空卡",IF($F1303="","单卡","正常"))</f>
        <v/>
      </c>
      <c r="H1303" s="11">
        <f>IF($G1303="正常",ROUND(($F1303-$E1303)*1440,0),"")</f>
        <v/>
      </c>
      <c r="I1303" s="12">
        <f>IF($G1303="正常",$H1303/60,"")</f>
        <v/>
      </c>
      <c r="J1303" s="13">
        <f>IF($G1303="正常",ROUND($H1303/30,0)/2,"")</f>
        <v/>
      </c>
      <c r="K1303" s="13">
        <f>IF($G1303="正常",MIN($J1303,12),"")</f>
        <v/>
      </c>
      <c r="L1303" s="13">
        <f>IF($G1303="正常",MAX($J1303-12,0),"")</f>
        <v/>
      </c>
    </row>
    <row r="1304">
      <c r="A1304" s="8" t="inlineStr">
        <is>
          <t>李树梅</t>
        </is>
      </c>
      <c r="B1304" s="8" t="inlineStr">
        <is>
          <t>8/1</t>
        </is>
      </c>
      <c r="C1304" s="8" t="inlineStr">
        <is>
          <t>六</t>
        </is>
      </c>
      <c r="D1304" s="8" t="inlineStr"/>
      <c r="E1304" s="9" t="n"/>
      <c r="F1304" s="9" t="n"/>
      <c r="G1304" s="10">
        <f>IF($E1304="","空卡",IF($F1304="","单卡","正常"))</f>
        <v/>
      </c>
      <c r="H1304" s="11">
        <f>IF($G1304="正常",ROUND(($F1304-$E1304)*1440,0),"")</f>
        <v/>
      </c>
      <c r="I1304" s="12">
        <f>IF($G1304="正常",$H1304/60,"")</f>
        <v/>
      </c>
      <c r="J1304" s="13">
        <f>IF($G1304="正常",ROUND($H1304/30,0)/2,"")</f>
        <v/>
      </c>
      <c r="K1304" s="13">
        <f>IF($G1304="正常",MIN($J1304,12),"")</f>
        <v/>
      </c>
      <c r="L1304" s="13">
        <f>IF($G1304="正常",MAX($J1304-12,0),"")</f>
        <v/>
      </c>
    </row>
    <row r="1305">
      <c r="A1305" s="8" t="inlineStr">
        <is>
          <t>李树梅</t>
        </is>
      </c>
      <c r="B1305" s="8" t="inlineStr">
        <is>
          <t>8/2</t>
        </is>
      </c>
      <c r="C1305" s="8" t="inlineStr">
        <is>
          <t>日</t>
        </is>
      </c>
      <c r="D1305" s="8" t="inlineStr"/>
      <c r="E1305" s="9" t="n"/>
      <c r="F1305" s="9" t="n"/>
      <c r="G1305" s="10">
        <f>IF($E1305="","空卡",IF($F1305="","单卡","正常"))</f>
        <v/>
      </c>
      <c r="H1305" s="11">
        <f>IF($G1305="正常",ROUND(($F1305-$E1305)*1440,0),"")</f>
        <v/>
      </c>
      <c r="I1305" s="12">
        <f>IF($G1305="正常",$H1305/60,"")</f>
        <v/>
      </c>
      <c r="J1305" s="13">
        <f>IF($G1305="正常",ROUND($H1305/30,0)/2,"")</f>
        <v/>
      </c>
      <c r="K1305" s="13">
        <f>IF($G1305="正常",MIN($J1305,12),"")</f>
        <v/>
      </c>
      <c r="L1305" s="13">
        <f>IF($G1305="正常",MAX($J1305-12,0),"")</f>
        <v/>
      </c>
    </row>
    <row r="1306">
      <c r="A1306" s="8" t="inlineStr">
        <is>
          <t>李树梅</t>
        </is>
      </c>
      <c r="B1306" s="8" t="inlineStr">
        <is>
          <t>8/3</t>
        </is>
      </c>
      <c r="C1306" s="8" t="inlineStr">
        <is>
          <t>一</t>
        </is>
      </c>
      <c r="D1306" s="8" t="inlineStr"/>
      <c r="E1306" s="9" t="n"/>
      <c r="F1306" s="9" t="n"/>
      <c r="G1306" s="10">
        <f>IF($E1306="","空卡",IF($F1306="","单卡","正常"))</f>
        <v/>
      </c>
      <c r="H1306" s="11">
        <f>IF($G1306="正常",ROUND(($F1306-$E1306)*1440,0),"")</f>
        <v/>
      </c>
      <c r="I1306" s="12">
        <f>IF($G1306="正常",$H1306/60,"")</f>
        <v/>
      </c>
      <c r="J1306" s="13">
        <f>IF($G1306="正常",ROUND($H1306/30,0)/2,"")</f>
        <v/>
      </c>
      <c r="K1306" s="13">
        <f>IF($G1306="正常",MIN($J1306,12),"")</f>
        <v/>
      </c>
      <c r="L1306" s="13">
        <f>IF($G1306="正常",MAX($J1306-12,0),"")</f>
        <v/>
      </c>
    </row>
    <row r="1307">
      <c r="A1307" s="8" t="inlineStr">
        <is>
          <t>李树梅</t>
        </is>
      </c>
      <c r="B1307" s="8" t="inlineStr">
        <is>
          <t>8/4</t>
        </is>
      </c>
      <c r="C1307" s="8" t="inlineStr">
        <is>
          <t>二</t>
        </is>
      </c>
      <c r="D1307" s="8" t="inlineStr"/>
      <c r="E1307" s="9" t="n"/>
      <c r="F1307" s="9" t="n"/>
      <c r="G1307" s="10">
        <f>IF($E1307="","空卡",IF($F1307="","单卡","正常"))</f>
        <v/>
      </c>
      <c r="H1307" s="11">
        <f>IF($G1307="正常",ROUND(($F1307-$E1307)*1440,0),"")</f>
        <v/>
      </c>
      <c r="I1307" s="12">
        <f>IF($G1307="正常",$H1307/60,"")</f>
        <v/>
      </c>
      <c r="J1307" s="13">
        <f>IF($G1307="正常",ROUND($H1307/30,0)/2,"")</f>
        <v/>
      </c>
      <c r="K1307" s="13">
        <f>IF($G1307="正常",MIN($J1307,12),"")</f>
        <v/>
      </c>
      <c r="L1307" s="13">
        <f>IF($G1307="正常",MAX($J1307-12,0),"")</f>
        <v/>
      </c>
    </row>
    <row r="1308">
      <c r="A1308" s="8" t="inlineStr">
        <is>
          <t>李树梅</t>
        </is>
      </c>
      <c r="B1308" s="8" t="inlineStr">
        <is>
          <t>8/5</t>
        </is>
      </c>
      <c r="C1308" s="8" t="inlineStr">
        <is>
          <t>三</t>
        </is>
      </c>
      <c r="D1308" s="8" t="inlineStr"/>
      <c r="E1308" s="9" t="n"/>
      <c r="F1308" s="9" t="n"/>
      <c r="G1308" s="10">
        <f>IF($E1308="","空卡",IF($F1308="","单卡","正常"))</f>
        <v/>
      </c>
      <c r="H1308" s="11">
        <f>IF($G1308="正常",ROUND(($F1308-$E1308)*1440,0),"")</f>
        <v/>
      </c>
      <c r="I1308" s="12">
        <f>IF($G1308="正常",$H1308/60,"")</f>
        <v/>
      </c>
      <c r="J1308" s="13">
        <f>IF($G1308="正常",ROUND($H1308/30,0)/2,"")</f>
        <v/>
      </c>
      <c r="K1308" s="13">
        <f>IF($G1308="正常",MIN($J1308,12),"")</f>
        <v/>
      </c>
      <c r="L1308" s="13">
        <f>IF($G1308="正常",MAX($J1308-12,0),"")</f>
        <v/>
      </c>
    </row>
    <row r="1309">
      <c r="A1309" s="8" t="inlineStr">
        <is>
          <t>李树梅</t>
        </is>
      </c>
      <c r="B1309" s="8" t="inlineStr">
        <is>
          <t>8/6</t>
        </is>
      </c>
      <c r="C1309" s="8" t="inlineStr">
        <is>
          <t>四</t>
        </is>
      </c>
      <c r="D1309" s="8" t="inlineStr"/>
      <c r="E1309" s="9" t="n"/>
      <c r="F1309" s="9" t="n"/>
      <c r="G1309" s="10">
        <f>IF($E1309="","空卡",IF($F1309="","单卡","正常"))</f>
        <v/>
      </c>
      <c r="H1309" s="11">
        <f>IF($G1309="正常",ROUND(($F1309-$E1309)*1440,0),"")</f>
        <v/>
      </c>
      <c r="I1309" s="12">
        <f>IF($G1309="正常",$H1309/60,"")</f>
        <v/>
      </c>
      <c r="J1309" s="13">
        <f>IF($G1309="正常",ROUND($H1309/30,0)/2,"")</f>
        <v/>
      </c>
      <c r="K1309" s="13">
        <f>IF($G1309="正常",MIN($J1309,12),"")</f>
        <v/>
      </c>
      <c r="L1309" s="13">
        <f>IF($G1309="正常",MAX($J1309-12,0),"")</f>
        <v/>
      </c>
    </row>
    <row r="1310">
      <c r="A1310" s="8" t="inlineStr">
        <is>
          <t>李树梅</t>
        </is>
      </c>
      <c r="B1310" s="8" t="inlineStr">
        <is>
          <t>8/7</t>
        </is>
      </c>
      <c r="C1310" s="8" t="inlineStr">
        <is>
          <t>五</t>
        </is>
      </c>
      <c r="D1310" s="8" t="inlineStr"/>
      <c r="E1310" s="9" t="n"/>
      <c r="F1310" s="9" t="n"/>
      <c r="G1310" s="10">
        <f>IF($E1310="","空卡",IF($F1310="","单卡","正常"))</f>
        <v/>
      </c>
      <c r="H1310" s="11">
        <f>IF($G1310="正常",ROUND(($F1310-$E1310)*1440,0),"")</f>
        <v/>
      </c>
      <c r="I1310" s="12">
        <f>IF($G1310="正常",$H1310/60,"")</f>
        <v/>
      </c>
      <c r="J1310" s="13">
        <f>IF($G1310="正常",ROUND($H1310/30,0)/2,"")</f>
        <v/>
      </c>
      <c r="K1310" s="13">
        <f>IF($G1310="正常",MIN($J1310,12),"")</f>
        <v/>
      </c>
      <c r="L1310" s="13">
        <f>IF($G1310="正常",MAX($J1310-12,0),"")</f>
        <v/>
      </c>
    </row>
    <row r="1311">
      <c r="A1311" s="8" t="inlineStr">
        <is>
          <t>李树梅</t>
        </is>
      </c>
      <c r="B1311" s="8" t="inlineStr">
        <is>
          <t>8/8</t>
        </is>
      </c>
      <c r="C1311" s="8" t="inlineStr">
        <is>
          <t>六</t>
        </is>
      </c>
      <c r="D1311" s="8" t="inlineStr"/>
      <c r="E1311" s="9" t="n"/>
      <c r="F1311" s="9" t="n"/>
      <c r="G1311" s="10">
        <f>IF($E1311="","空卡",IF($F1311="","单卡","正常"))</f>
        <v/>
      </c>
      <c r="H1311" s="11">
        <f>IF($G1311="正常",ROUND(($F1311-$E1311)*1440,0),"")</f>
        <v/>
      </c>
      <c r="I1311" s="12">
        <f>IF($G1311="正常",$H1311/60,"")</f>
        <v/>
      </c>
      <c r="J1311" s="13">
        <f>IF($G1311="正常",ROUND($H1311/30,0)/2,"")</f>
        <v/>
      </c>
      <c r="K1311" s="13">
        <f>IF($G1311="正常",MIN($J1311,12),"")</f>
        <v/>
      </c>
      <c r="L1311" s="13">
        <f>IF($G1311="正常",MAX($J1311-12,0),"")</f>
        <v/>
      </c>
    </row>
    <row r="1312">
      <c r="A1312" s="8" t="inlineStr">
        <is>
          <t>李树梅</t>
        </is>
      </c>
      <c r="B1312" s="8" t="inlineStr">
        <is>
          <t>8/9</t>
        </is>
      </c>
      <c r="C1312" s="8" t="inlineStr">
        <is>
          <t>日</t>
        </is>
      </c>
      <c r="D1312" s="8" t="inlineStr"/>
      <c r="E1312" s="9" t="n"/>
      <c r="F1312" s="9" t="n"/>
      <c r="G1312" s="10">
        <f>IF($E1312="","空卡",IF($F1312="","单卡","正常"))</f>
        <v/>
      </c>
      <c r="H1312" s="11">
        <f>IF($G1312="正常",ROUND(($F1312-$E1312)*1440,0),"")</f>
        <v/>
      </c>
      <c r="I1312" s="12">
        <f>IF($G1312="正常",$H1312/60,"")</f>
        <v/>
      </c>
      <c r="J1312" s="13">
        <f>IF($G1312="正常",ROUND($H1312/30,0)/2,"")</f>
        <v/>
      </c>
      <c r="K1312" s="13">
        <f>IF($G1312="正常",MIN($J1312,12),"")</f>
        <v/>
      </c>
      <c r="L1312" s="13">
        <f>IF($G1312="正常",MAX($J1312-12,0),"")</f>
        <v/>
      </c>
    </row>
    <row r="1313">
      <c r="A1313" s="8" t="inlineStr">
        <is>
          <t>李树梅</t>
        </is>
      </c>
      <c r="B1313" s="8" t="inlineStr">
        <is>
          <t>8/10</t>
        </is>
      </c>
      <c r="C1313" s="8" t="inlineStr">
        <is>
          <t>一</t>
        </is>
      </c>
      <c r="D1313" s="8" t="inlineStr">
        <is>
          <t>08:17</t>
        </is>
      </c>
      <c r="E1313" s="9" t="n">
        <v>0.3451388888888889</v>
      </c>
      <c r="F1313" s="9" t="n"/>
      <c r="G1313" s="10">
        <f>IF($E1313="","空卡",IF($F1313="","单卡","正常"))</f>
        <v/>
      </c>
      <c r="H1313" s="11">
        <f>IF($G1313="正常",ROUND(($F1313-$E1313)*1440,0),"")</f>
        <v/>
      </c>
      <c r="I1313" s="12">
        <f>IF($G1313="正常",$H1313/60,"")</f>
        <v/>
      </c>
      <c r="J1313" s="13">
        <f>IF($G1313="正常",ROUND($H1313/30,0)/2,"")</f>
        <v/>
      </c>
      <c r="K1313" s="13">
        <f>IF($G1313="正常",MIN($J1313,12),"")</f>
        <v/>
      </c>
      <c r="L1313" s="13">
        <f>IF($G1313="正常",MAX($J1313-12,0),"")</f>
        <v/>
      </c>
    </row>
    <row r="1314">
      <c r="A1314" s="8" t="inlineStr">
        <is>
          <t>李树梅</t>
        </is>
      </c>
      <c r="B1314" s="8" t="inlineStr">
        <is>
          <t>8/11</t>
        </is>
      </c>
      <c r="C1314" s="8" t="inlineStr">
        <is>
          <t>二</t>
        </is>
      </c>
      <c r="D1314" s="8" t="inlineStr"/>
      <c r="E1314" s="9" t="n"/>
      <c r="F1314" s="9" t="n"/>
      <c r="G1314" s="10">
        <f>IF($E1314="","空卡",IF($F1314="","单卡","正常"))</f>
        <v/>
      </c>
      <c r="H1314" s="11">
        <f>IF($G1314="正常",ROUND(($F1314-$E1314)*1440,0),"")</f>
        <v/>
      </c>
      <c r="I1314" s="12">
        <f>IF($G1314="正常",$H1314/60,"")</f>
        <v/>
      </c>
      <c r="J1314" s="13">
        <f>IF($G1314="正常",ROUND($H1314/30,0)/2,"")</f>
        <v/>
      </c>
      <c r="K1314" s="13">
        <f>IF($G1314="正常",MIN($J1314,12),"")</f>
        <v/>
      </c>
      <c r="L1314" s="13">
        <f>IF($G1314="正常",MAX($J1314-12,0),"")</f>
        <v/>
      </c>
    </row>
    <row r="1315">
      <c r="A1315" s="8" t="inlineStr">
        <is>
          <t>李树梅</t>
        </is>
      </c>
      <c r="B1315" s="8" t="inlineStr">
        <is>
          <t>8/12</t>
        </is>
      </c>
      <c r="C1315" s="8" t="inlineStr">
        <is>
          <t>三</t>
        </is>
      </c>
      <c r="D1315" s="8" t="inlineStr"/>
      <c r="E1315" s="9" t="n"/>
      <c r="F1315" s="9" t="n"/>
      <c r="G1315" s="10">
        <f>IF($E1315="","空卡",IF($F1315="","单卡","正常"))</f>
        <v/>
      </c>
      <c r="H1315" s="11">
        <f>IF($G1315="正常",ROUND(($F1315-$E1315)*1440,0),"")</f>
        <v/>
      </c>
      <c r="I1315" s="12">
        <f>IF($G1315="正常",$H1315/60,"")</f>
        <v/>
      </c>
      <c r="J1315" s="13">
        <f>IF($G1315="正常",ROUND($H1315/30,0)/2,"")</f>
        <v/>
      </c>
      <c r="K1315" s="13">
        <f>IF($G1315="正常",MIN($J1315,12),"")</f>
        <v/>
      </c>
      <c r="L1315" s="13">
        <f>IF($G1315="正常",MAX($J1315-12,0),"")</f>
        <v/>
      </c>
    </row>
    <row r="1316">
      <c r="A1316" s="8" t="inlineStr">
        <is>
          <t>李树梅</t>
        </is>
      </c>
      <c r="B1316" s="8" t="inlineStr">
        <is>
          <t>8/13</t>
        </is>
      </c>
      <c r="C1316" s="8" t="inlineStr">
        <is>
          <t>四</t>
        </is>
      </c>
      <c r="D1316" s="8" t="inlineStr"/>
      <c r="E1316" s="9" t="n"/>
      <c r="F1316" s="9" t="n"/>
      <c r="G1316" s="10">
        <f>IF($E1316="","空卡",IF($F1316="","单卡","正常"))</f>
        <v/>
      </c>
      <c r="H1316" s="11">
        <f>IF($G1316="正常",ROUND(($F1316-$E1316)*1440,0),"")</f>
        <v/>
      </c>
      <c r="I1316" s="12">
        <f>IF($G1316="正常",$H1316/60,"")</f>
        <v/>
      </c>
      <c r="J1316" s="13">
        <f>IF($G1316="正常",ROUND($H1316/30,0)/2,"")</f>
        <v/>
      </c>
      <c r="K1316" s="13">
        <f>IF($G1316="正常",MIN($J1316,12),"")</f>
        <v/>
      </c>
      <c r="L1316" s="13">
        <f>IF($G1316="正常",MAX($J1316-12,0),"")</f>
        <v/>
      </c>
    </row>
    <row r="1317">
      <c r="A1317" s="8" t="inlineStr">
        <is>
          <t>李树梅</t>
        </is>
      </c>
      <c r="B1317" s="8" t="inlineStr">
        <is>
          <t>8/14</t>
        </is>
      </c>
      <c r="C1317" s="8" t="inlineStr">
        <is>
          <t>五</t>
        </is>
      </c>
      <c r="D1317" s="8" t="inlineStr"/>
      <c r="E1317" s="9" t="n"/>
      <c r="F1317" s="9" t="n"/>
      <c r="G1317" s="10">
        <f>IF($E1317="","空卡",IF($F1317="","单卡","正常"))</f>
        <v/>
      </c>
      <c r="H1317" s="11">
        <f>IF($G1317="正常",ROUND(($F1317-$E1317)*1440,0),"")</f>
        <v/>
      </c>
      <c r="I1317" s="12">
        <f>IF($G1317="正常",$H1317/60,"")</f>
        <v/>
      </c>
      <c r="J1317" s="13">
        <f>IF($G1317="正常",ROUND($H1317/30,0)/2,"")</f>
        <v/>
      </c>
      <c r="K1317" s="13">
        <f>IF($G1317="正常",MIN($J1317,12),"")</f>
        <v/>
      </c>
      <c r="L1317" s="13">
        <f>IF($G1317="正常",MAX($J1317-12,0),"")</f>
        <v/>
      </c>
    </row>
    <row r="1318">
      <c r="A1318" s="8" t="inlineStr">
        <is>
          <t>李树梅</t>
        </is>
      </c>
      <c r="B1318" s="8" t="inlineStr">
        <is>
          <t>8/15</t>
        </is>
      </c>
      <c r="C1318" s="8" t="inlineStr">
        <is>
          <t>六</t>
        </is>
      </c>
      <c r="D1318" s="8" t="inlineStr"/>
      <c r="E1318" s="9" t="n"/>
      <c r="F1318" s="9" t="n"/>
      <c r="G1318" s="10">
        <f>IF($E1318="","空卡",IF($F1318="","单卡","正常"))</f>
        <v/>
      </c>
      <c r="H1318" s="11">
        <f>IF($G1318="正常",ROUND(($F1318-$E1318)*1440,0),"")</f>
        <v/>
      </c>
      <c r="I1318" s="12">
        <f>IF($G1318="正常",$H1318/60,"")</f>
        <v/>
      </c>
      <c r="J1318" s="13">
        <f>IF($G1318="正常",ROUND($H1318/30,0)/2,"")</f>
        <v/>
      </c>
      <c r="K1318" s="13">
        <f>IF($G1318="正常",MIN($J1318,12),"")</f>
        <v/>
      </c>
      <c r="L1318" s="13">
        <f>IF($G1318="正常",MAX($J1318-12,0),"")</f>
        <v/>
      </c>
    </row>
    <row r="1319">
      <c r="A1319" s="8" t="inlineStr">
        <is>
          <t>李树梅</t>
        </is>
      </c>
      <c r="B1319" s="8" t="inlineStr">
        <is>
          <t>8/16</t>
        </is>
      </c>
      <c r="C1319" s="8" t="inlineStr">
        <is>
          <t>日</t>
        </is>
      </c>
      <c r="D1319" s="8" t="inlineStr"/>
      <c r="E1319" s="9" t="n"/>
      <c r="F1319" s="9" t="n"/>
      <c r="G1319" s="10">
        <f>IF($E1319="","空卡",IF($F1319="","单卡","正常"))</f>
        <v/>
      </c>
      <c r="H1319" s="11">
        <f>IF($G1319="正常",ROUND(($F1319-$E1319)*1440,0),"")</f>
        <v/>
      </c>
      <c r="I1319" s="12">
        <f>IF($G1319="正常",$H1319/60,"")</f>
        <v/>
      </c>
      <c r="J1319" s="13">
        <f>IF($G1319="正常",ROUND($H1319/30,0)/2,"")</f>
        <v/>
      </c>
      <c r="K1319" s="13">
        <f>IF($G1319="正常",MIN($J1319,12),"")</f>
        <v/>
      </c>
      <c r="L1319" s="13">
        <f>IF($G1319="正常",MAX($J1319-12,0),"")</f>
        <v/>
      </c>
    </row>
    <row r="1320">
      <c r="A1320" s="8" t="inlineStr">
        <is>
          <t>李树梅</t>
        </is>
      </c>
      <c r="B1320" s="8" t="inlineStr">
        <is>
          <t>8/17</t>
        </is>
      </c>
      <c r="C1320" s="8" t="inlineStr">
        <is>
          <t>一</t>
        </is>
      </c>
      <c r="D1320" s="8" t="inlineStr"/>
      <c r="E1320" s="9" t="n"/>
      <c r="F1320" s="9" t="n"/>
      <c r="G1320" s="10">
        <f>IF($E1320="","空卡",IF($F1320="","单卡","正常"))</f>
        <v/>
      </c>
      <c r="H1320" s="11">
        <f>IF($G1320="正常",ROUND(($F1320-$E1320)*1440,0),"")</f>
        <v/>
      </c>
      <c r="I1320" s="12">
        <f>IF($G1320="正常",$H1320/60,"")</f>
        <v/>
      </c>
      <c r="J1320" s="13">
        <f>IF($G1320="正常",ROUND($H1320/30,0)/2,"")</f>
        <v/>
      </c>
      <c r="K1320" s="13">
        <f>IF($G1320="正常",MIN($J1320,12),"")</f>
        <v/>
      </c>
      <c r="L1320" s="13">
        <f>IF($G1320="正常",MAX($J1320-12,0),"")</f>
        <v/>
      </c>
    </row>
    <row r="1321">
      <c r="A1321" s="8" t="inlineStr">
        <is>
          <t>李树梅</t>
        </is>
      </c>
      <c r="B1321" s="8" t="inlineStr">
        <is>
          <t>8/18</t>
        </is>
      </c>
      <c r="C1321" s="8" t="inlineStr">
        <is>
          <t>二</t>
        </is>
      </c>
      <c r="D1321" s="8" t="inlineStr"/>
      <c r="E1321" s="9" t="n"/>
      <c r="F1321" s="9" t="n"/>
      <c r="G1321" s="10">
        <f>IF($E1321="","空卡",IF($F1321="","单卡","正常"))</f>
        <v/>
      </c>
      <c r="H1321" s="11">
        <f>IF($G1321="正常",ROUND(($F1321-$E1321)*1440,0),"")</f>
        <v/>
      </c>
      <c r="I1321" s="12">
        <f>IF($G1321="正常",$H1321/60,"")</f>
        <v/>
      </c>
      <c r="J1321" s="13">
        <f>IF($G1321="正常",ROUND($H1321/30,0)/2,"")</f>
        <v/>
      </c>
      <c r="K1321" s="13">
        <f>IF($G1321="正常",MIN($J1321,12),"")</f>
        <v/>
      </c>
      <c r="L1321" s="13">
        <f>IF($G1321="正常",MAX($J1321-12,0),"")</f>
        <v/>
      </c>
    </row>
    <row r="1322">
      <c r="A1322" s="8" t="inlineStr">
        <is>
          <t>李树梅</t>
        </is>
      </c>
      <c r="B1322" s="8" t="inlineStr">
        <is>
          <t>8/19</t>
        </is>
      </c>
      <c r="C1322" s="8" t="inlineStr">
        <is>
          <t>三</t>
        </is>
      </c>
      <c r="D1322" s="8" t="inlineStr"/>
      <c r="E1322" s="9" t="n"/>
      <c r="F1322" s="9" t="n"/>
      <c r="G1322" s="10">
        <f>IF($E1322="","空卡",IF($F1322="","单卡","正常"))</f>
        <v/>
      </c>
      <c r="H1322" s="11">
        <f>IF($G1322="正常",ROUND(($F1322-$E1322)*1440,0),"")</f>
        <v/>
      </c>
      <c r="I1322" s="12">
        <f>IF($G1322="正常",$H1322/60,"")</f>
        <v/>
      </c>
      <c r="J1322" s="13">
        <f>IF($G1322="正常",ROUND($H1322/30,0)/2,"")</f>
        <v/>
      </c>
      <c r="K1322" s="13">
        <f>IF($G1322="正常",MIN($J1322,12),"")</f>
        <v/>
      </c>
      <c r="L1322" s="13">
        <f>IF($G1322="正常",MAX($J1322-12,0),"")</f>
        <v/>
      </c>
    </row>
    <row r="1323">
      <c r="A1323" s="8" t="inlineStr">
        <is>
          <t>李树梅</t>
        </is>
      </c>
      <c r="B1323" s="8" t="inlineStr">
        <is>
          <t>8/20</t>
        </is>
      </c>
      <c r="C1323" s="8" t="inlineStr">
        <is>
          <t>四</t>
        </is>
      </c>
      <c r="D1323" s="8" t="inlineStr"/>
      <c r="E1323" s="9" t="n"/>
      <c r="F1323" s="9" t="n"/>
      <c r="G1323" s="10">
        <f>IF($E1323="","空卡",IF($F1323="","单卡","正常"))</f>
        <v/>
      </c>
      <c r="H1323" s="11">
        <f>IF($G1323="正常",ROUND(($F1323-$E1323)*1440,0),"")</f>
        <v/>
      </c>
      <c r="I1323" s="12">
        <f>IF($G1323="正常",$H1323/60,"")</f>
        <v/>
      </c>
      <c r="J1323" s="13">
        <f>IF($G1323="正常",ROUND($H1323/30,0)/2,"")</f>
        <v/>
      </c>
      <c r="K1323" s="13">
        <f>IF($G1323="正常",MIN($J1323,12),"")</f>
        <v/>
      </c>
      <c r="L1323" s="13">
        <f>IF($G1323="正常",MAX($J1323-12,0),"")</f>
        <v/>
      </c>
    </row>
    <row r="1324">
      <c r="A1324" s="8" t="inlineStr">
        <is>
          <t>李树梅</t>
        </is>
      </c>
      <c r="B1324" s="8" t="inlineStr">
        <is>
          <t>8/21</t>
        </is>
      </c>
      <c r="C1324" s="8" t="inlineStr">
        <is>
          <t>五</t>
        </is>
      </c>
      <c r="D1324" s="8" t="inlineStr"/>
      <c r="E1324" s="9" t="n"/>
      <c r="F1324" s="9" t="n"/>
      <c r="G1324" s="10">
        <f>IF($E1324="","空卡",IF($F1324="","单卡","正常"))</f>
        <v/>
      </c>
      <c r="H1324" s="11">
        <f>IF($G1324="正常",ROUND(($F1324-$E1324)*1440,0),"")</f>
        <v/>
      </c>
      <c r="I1324" s="12">
        <f>IF($G1324="正常",$H1324/60,"")</f>
        <v/>
      </c>
      <c r="J1324" s="13">
        <f>IF($G1324="正常",ROUND($H1324/30,0)/2,"")</f>
        <v/>
      </c>
      <c r="K1324" s="13">
        <f>IF($G1324="正常",MIN($J1324,12),"")</f>
        <v/>
      </c>
      <c r="L1324" s="13">
        <f>IF($G1324="正常",MAX($J1324-12,0),"")</f>
        <v/>
      </c>
    </row>
    <row r="1325">
      <c r="A1325" s="8" t="inlineStr">
        <is>
          <t>李树梅</t>
        </is>
      </c>
      <c r="B1325" s="8" t="inlineStr">
        <is>
          <t>8/22</t>
        </is>
      </c>
      <c r="C1325" s="8" t="inlineStr">
        <is>
          <t>六</t>
        </is>
      </c>
      <c r="D1325" s="8" t="inlineStr"/>
      <c r="E1325" s="9" t="n"/>
      <c r="F1325" s="9" t="n"/>
      <c r="G1325" s="10">
        <f>IF($E1325="","空卡",IF($F1325="","单卡","正常"))</f>
        <v/>
      </c>
      <c r="H1325" s="11">
        <f>IF($G1325="正常",ROUND(($F1325-$E1325)*1440,0),"")</f>
        <v/>
      </c>
      <c r="I1325" s="12">
        <f>IF($G1325="正常",$H1325/60,"")</f>
        <v/>
      </c>
      <c r="J1325" s="13">
        <f>IF($G1325="正常",ROUND($H1325/30,0)/2,"")</f>
        <v/>
      </c>
      <c r="K1325" s="13">
        <f>IF($G1325="正常",MIN($J1325,12),"")</f>
        <v/>
      </c>
      <c r="L1325" s="13">
        <f>IF($G1325="正常",MAX($J1325-12,0),"")</f>
        <v/>
      </c>
    </row>
    <row r="1326">
      <c r="A1326" s="8" t="inlineStr">
        <is>
          <t>李树梅</t>
        </is>
      </c>
      <c r="B1326" s="8" t="inlineStr">
        <is>
          <t>8/23</t>
        </is>
      </c>
      <c r="C1326" s="8" t="inlineStr">
        <is>
          <t>日</t>
        </is>
      </c>
      <c r="D1326" s="8" t="inlineStr"/>
      <c r="E1326" s="9" t="n"/>
      <c r="F1326" s="9" t="n"/>
      <c r="G1326" s="10">
        <f>IF($E1326="","空卡",IF($F1326="","单卡","正常"))</f>
        <v/>
      </c>
      <c r="H1326" s="11">
        <f>IF($G1326="正常",ROUND(($F1326-$E1326)*1440,0),"")</f>
        <v/>
      </c>
      <c r="I1326" s="12">
        <f>IF($G1326="正常",$H1326/60,"")</f>
        <v/>
      </c>
      <c r="J1326" s="13">
        <f>IF($G1326="正常",ROUND($H1326/30,0)/2,"")</f>
        <v/>
      </c>
      <c r="K1326" s="13">
        <f>IF($G1326="正常",MIN($J1326,12),"")</f>
        <v/>
      </c>
      <c r="L1326" s="13">
        <f>IF($G1326="正常",MAX($J1326-12,0),"")</f>
        <v/>
      </c>
    </row>
    <row r="1327">
      <c r="A1327" s="8" t="inlineStr">
        <is>
          <t>李树梅</t>
        </is>
      </c>
      <c r="B1327" s="8" t="inlineStr">
        <is>
          <t>8/24</t>
        </is>
      </c>
      <c r="C1327" s="8" t="inlineStr">
        <is>
          <t>一</t>
        </is>
      </c>
      <c r="D1327" s="8" t="inlineStr"/>
      <c r="E1327" s="9" t="n"/>
      <c r="F1327" s="9" t="n"/>
      <c r="G1327" s="10">
        <f>IF($E1327="","空卡",IF($F1327="","单卡","正常"))</f>
        <v/>
      </c>
      <c r="H1327" s="11">
        <f>IF($G1327="正常",ROUND(($F1327-$E1327)*1440,0),"")</f>
        <v/>
      </c>
      <c r="I1327" s="12">
        <f>IF($G1327="正常",$H1327/60,"")</f>
        <v/>
      </c>
      <c r="J1327" s="13">
        <f>IF($G1327="正常",ROUND($H1327/30,0)/2,"")</f>
        <v/>
      </c>
      <c r="K1327" s="13">
        <f>IF($G1327="正常",MIN($J1327,12),"")</f>
        <v/>
      </c>
      <c r="L1327" s="13">
        <f>IF($G1327="正常",MAX($J1327-12,0),"")</f>
        <v/>
      </c>
    </row>
    <row r="1328">
      <c r="A1328" s="8" t="inlineStr">
        <is>
          <t>李树梅</t>
        </is>
      </c>
      <c r="B1328" s="8" t="inlineStr">
        <is>
          <t>8/25</t>
        </is>
      </c>
      <c r="C1328" s="8" t="inlineStr">
        <is>
          <t>二</t>
        </is>
      </c>
      <c r="D1328" s="8" t="inlineStr"/>
      <c r="E1328" s="9" t="n"/>
      <c r="F1328" s="9" t="n"/>
      <c r="G1328" s="10">
        <f>IF($E1328="","空卡",IF($F1328="","单卡","正常"))</f>
        <v/>
      </c>
      <c r="H1328" s="11">
        <f>IF($G1328="正常",ROUND(($F1328-$E1328)*1440,0),"")</f>
        <v/>
      </c>
      <c r="I1328" s="12">
        <f>IF($G1328="正常",$H1328/60,"")</f>
        <v/>
      </c>
      <c r="J1328" s="13">
        <f>IF($G1328="正常",ROUND($H1328/30,0)/2,"")</f>
        <v/>
      </c>
      <c r="K1328" s="13">
        <f>IF($G1328="正常",MIN($J1328,12),"")</f>
        <v/>
      </c>
      <c r="L1328" s="13">
        <f>IF($G1328="正常",MAX($J1328-12,0),"")</f>
        <v/>
      </c>
    </row>
    <row r="1329">
      <c r="A1329" s="8" t="inlineStr">
        <is>
          <t>李树梅</t>
        </is>
      </c>
      <c r="B1329" s="8" t="inlineStr">
        <is>
          <t>8/26</t>
        </is>
      </c>
      <c r="C1329" s="8" t="inlineStr">
        <is>
          <t>三</t>
        </is>
      </c>
      <c r="D1329" s="8" t="inlineStr"/>
      <c r="E1329" s="9" t="n"/>
      <c r="F1329" s="9" t="n"/>
      <c r="G1329" s="10">
        <f>IF($E1329="","空卡",IF($F1329="","单卡","正常"))</f>
        <v/>
      </c>
      <c r="H1329" s="11">
        <f>IF($G1329="正常",ROUND(($F1329-$E1329)*1440,0),"")</f>
        <v/>
      </c>
      <c r="I1329" s="12">
        <f>IF($G1329="正常",$H1329/60,"")</f>
        <v/>
      </c>
      <c r="J1329" s="13">
        <f>IF($G1329="正常",ROUND($H1329/30,0)/2,"")</f>
        <v/>
      </c>
      <c r="K1329" s="13">
        <f>IF($G1329="正常",MIN($J1329,12),"")</f>
        <v/>
      </c>
      <c r="L1329" s="13">
        <f>IF($G1329="正常",MAX($J1329-12,0),"")</f>
        <v/>
      </c>
    </row>
    <row r="1330">
      <c r="A1330" s="8" t="inlineStr">
        <is>
          <t>李树梅</t>
        </is>
      </c>
      <c r="B1330" s="8" t="inlineStr">
        <is>
          <t>8/27</t>
        </is>
      </c>
      <c r="C1330" s="8" t="inlineStr">
        <is>
          <t>四</t>
        </is>
      </c>
      <c r="D1330" s="8" t="inlineStr"/>
      <c r="E1330" s="9" t="n"/>
      <c r="F1330" s="9" t="n"/>
      <c r="G1330" s="10">
        <f>IF($E1330="","空卡",IF($F1330="","单卡","正常"))</f>
        <v/>
      </c>
      <c r="H1330" s="11">
        <f>IF($G1330="正常",ROUND(($F1330-$E1330)*1440,0),"")</f>
        <v/>
      </c>
      <c r="I1330" s="12">
        <f>IF($G1330="正常",$H1330/60,"")</f>
        <v/>
      </c>
      <c r="J1330" s="13">
        <f>IF($G1330="正常",ROUND($H1330/30,0)/2,"")</f>
        <v/>
      </c>
      <c r="K1330" s="13">
        <f>IF($G1330="正常",MIN($J1330,12),"")</f>
        <v/>
      </c>
      <c r="L1330" s="13">
        <f>IF($G1330="正常",MAX($J1330-12,0),"")</f>
        <v/>
      </c>
    </row>
    <row r="1331">
      <c r="A1331" s="8" t="inlineStr">
        <is>
          <t>李树梅</t>
        </is>
      </c>
      <c r="B1331" s="8" t="inlineStr">
        <is>
          <t>8/28</t>
        </is>
      </c>
      <c r="C1331" s="8" t="inlineStr">
        <is>
          <t>五</t>
        </is>
      </c>
      <c r="D1331" s="8" t="inlineStr"/>
      <c r="E1331" s="9" t="n"/>
      <c r="F1331" s="9" t="n"/>
      <c r="G1331" s="10">
        <f>IF($E1331="","空卡",IF($F1331="","单卡","正常"))</f>
        <v/>
      </c>
      <c r="H1331" s="11">
        <f>IF($G1331="正常",ROUND(($F1331-$E1331)*1440,0),"")</f>
        <v/>
      </c>
      <c r="I1331" s="12">
        <f>IF($G1331="正常",$H1331/60,"")</f>
        <v/>
      </c>
      <c r="J1331" s="13">
        <f>IF($G1331="正常",ROUND($H1331/30,0)/2,"")</f>
        <v/>
      </c>
      <c r="K1331" s="13">
        <f>IF($G1331="正常",MIN($J1331,12),"")</f>
        <v/>
      </c>
      <c r="L1331" s="13">
        <f>IF($G1331="正常",MAX($J1331-12,0),"")</f>
        <v/>
      </c>
    </row>
    <row r="1332">
      <c r="A1332" s="8" t="inlineStr">
        <is>
          <t>李树梅</t>
        </is>
      </c>
      <c r="B1332" s="8" t="inlineStr">
        <is>
          <t>8/29</t>
        </is>
      </c>
      <c r="C1332" s="8" t="inlineStr">
        <is>
          <t>六</t>
        </is>
      </c>
      <c r="D1332" s="8" t="inlineStr"/>
      <c r="E1332" s="9" t="n"/>
      <c r="F1332" s="9" t="n"/>
      <c r="G1332" s="10">
        <f>IF($E1332="","空卡",IF($F1332="","单卡","正常"))</f>
        <v/>
      </c>
      <c r="H1332" s="11">
        <f>IF($G1332="正常",ROUND(($F1332-$E1332)*1440,0),"")</f>
        <v/>
      </c>
      <c r="I1332" s="12">
        <f>IF($G1332="正常",$H1332/60,"")</f>
        <v/>
      </c>
      <c r="J1332" s="13">
        <f>IF($G1332="正常",ROUND($H1332/30,0)/2,"")</f>
        <v/>
      </c>
      <c r="K1332" s="13">
        <f>IF($G1332="正常",MIN($J1332,12),"")</f>
        <v/>
      </c>
      <c r="L1332" s="13">
        <f>IF($G1332="正常",MAX($J1332-12,0),"")</f>
        <v/>
      </c>
    </row>
    <row r="1333">
      <c r="A1333" s="8" t="inlineStr">
        <is>
          <t>李树梅</t>
        </is>
      </c>
      <c r="B1333" s="8" t="inlineStr">
        <is>
          <t>8/30</t>
        </is>
      </c>
      <c r="C1333" s="8" t="inlineStr">
        <is>
          <t>日</t>
        </is>
      </c>
      <c r="D1333" s="8" t="inlineStr"/>
      <c r="E1333" s="9" t="n"/>
      <c r="F1333" s="9" t="n"/>
      <c r="G1333" s="10">
        <f>IF($E1333="","空卡",IF($F1333="","单卡","正常"))</f>
        <v/>
      </c>
      <c r="H1333" s="11">
        <f>IF($G1333="正常",ROUND(($F1333-$E1333)*1440,0),"")</f>
        <v/>
      </c>
      <c r="I1333" s="12">
        <f>IF($G1333="正常",$H1333/60,"")</f>
        <v/>
      </c>
      <c r="J1333" s="13">
        <f>IF($G1333="正常",ROUND($H1333/30,0)/2,"")</f>
        <v/>
      </c>
      <c r="K1333" s="13">
        <f>IF($G1333="正常",MIN($J1333,12),"")</f>
        <v/>
      </c>
      <c r="L1333" s="13">
        <f>IF($G1333="正常",MAX($J1333-12,0),"")</f>
        <v/>
      </c>
    </row>
    <row r="1334">
      <c r="A1334" s="8" t="inlineStr">
        <is>
          <t>李树梅</t>
        </is>
      </c>
      <c r="B1334" s="8" t="inlineStr">
        <is>
          <t>8/31</t>
        </is>
      </c>
      <c r="C1334" s="8" t="inlineStr">
        <is>
          <t>一</t>
        </is>
      </c>
      <c r="D1334" s="8" t="inlineStr"/>
      <c r="E1334" s="9" t="n"/>
      <c r="F1334" s="9" t="n"/>
      <c r="G1334" s="10">
        <f>IF($E1334="","空卡",IF($F1334="","单卡","正常"))</f>
        <v/>
      </c>
      <c r="H1334" s="11">
        <f>IF($G1334="正常",ROUND(($F1334-$E1334)*1440,0),"")</f>
        <v/>
      </c>
      <c r="I1334" s="12">
        <f>IF($G1334="正常",$H1334/60,"")</f>
        <v/>
      </c>
      <c r="J1334" s="13">
        <f>IF($G1334="正常",ROUND($H1334/30,0)/2,"")</f>
        <v/>
      </c>
      <c r="K1334" s="13">
        <f>IF($G1334="正常",MIN($J1334,12),"")</f>
        <v/>
      </c>
      <c r="L1334" s="13">
        <f>IF($G1334="正常",MAX($J1334-12,0),"")</f>
        <v/>
      </c>
    </row>
    <row r="1335">
      <c r="A1335" s="3" t="inlineStr">
        <is>
          <t>刘邓</t>
        </is>
      </c>
      <c r="B1335" s="3" t="inlineStr">
        <is>
          <t>8/1</t>
        </is>
      </c>
      <c r="C1335" s="3" t="inlineStr">
        <is>
          <t>六</t>
        </is>
      </c>
      <c r="D1335" s="3" t="inlineStr">
        <is>
          <t>10:57 15:53</t>
        </is>
      </c>
      <c r="E1335" s="4" t="n">
        <v>0.45625</v>
      </c>
      <c r="F1335" s="4" t="n">
        <v>0.6618055555555555</v>
      </c>
      <c r="G1335" s="3">
        <f>IF($E1335="","空卡",IF($F1335="","单卡","正常"))</f>
        <v/>
      </c>
      <c r="H1335" s="5">
        <f>IF($G1335="正常",ROUND(($F1335-$E1335)*1440,0),"")</f>
        <v/>
      </c>
      <c r="I1335" s="6">
        <f>IF($G1335="正常",$H1335/60,"")</f>
        <v/>
      </c>
      <c r="J1335" s="7">
        <f>IF($G1335="正常",ROUND($H1335/30,0)/2,"")</f>
        <v/>
      </c>
      <c r="K1335" s="7">
        <f>IF($G1335="正常",MIN($J1335,12),"")</f>
        <v/>
      </c>
      <c r="L1335" s="7">
        <f>IF($G1335="正常",MAX($J1335-12,0),"")</f>
        <v/>
      </c>
    </row>
    <row r="1336">
      <c r="A1336" s="3" t="inlineStr">
        <is>
          <t>刘邓</t>
        </is>
      </c>
      <c r="B1336" s="3" t="inlineStr">
        <is>
          <t>8/2</t>
        </is>
      </c>
      <c r="C1336" s="3" t="inlineStr">
        <is>
          <t>日</t>
        </is>
      </c>
      <c r="D1336" s="3" t="inlineStr">
        <is>
          <t>10:36 15:01</t>
        </is>
      </c>
      <c r="E1336" s="4" t="n">
        <v>0.4416666666666667</v>
      </c>
      <c r="F1336" s="4" t="n">
        <v>0.6256944444444444</v>
      </c>
      <c r="G1336" s="3">
        <f>IF($E1336="","空卡",IF($F1336="","单卡","正常"))</f>
        <v/>
      </c>
      <c r="H1336" s="5">
        <f>IF($G1336="正常",ROUND(($F1336-$E1336)*1440,0),"")</f>
        <v/>
      </c>
      <c r="I1336" s="6">
        <f>IF($G1336="正常",$H1336/60,"")</f>
        <v/>
      </c>
      <c r="J1336" s="7">
        <f>IF($G1336="正常",ROUND($H1336/30,0)/2,"")</f>
        <v/>
      </c>
      <c r="K1336" s="7">
        <f>IF($G1336="正常",MIN($J1336,12),"")</f>
        <v/>
      </c>
      <c r="L1336" s="7">
        <f>IF($G1336="正常",MAX($J1336-12,0),"")</f>
        <v/>
      </c>
    </row>
    <row r="1337">
      <c r="A1337" s="3" t="inlineStr">
        <is>
          <t>刘邓</t>
        </is>
      </c>
      <c r="B1337" s="3" t="inlineStr">
        <is>
          <t>8/3</t>
        </is>
      </c>
      <c r="C1337" s="3" t="inlineStr">
        <is>
          <t>一</t>
        </is>
      </c>
      <c r="D1337" s="3" t="inlineStr">
        <is>
          <t>10:45 15:35</t>
        </is>
      </c>
      <c r="E1337" s="4" t="n">
        <v>0.4479166666666667</v>
      </c>
      <c r="F1337" s="4" t="n">
        <v>0.6493055555555556</v>
      </c>
      <c r="G1337" s="3">
        <f>IF($E1337="","空卡",IF($F1337="","单卡","正常"))</f>
        <v/>
      </c>
      <c r="H1337" s="5">
        <f>IF($G1337="正常",ROUND(($F1337-$E1337)*1440,0),"")</f>
        <v/>
      </c>
      <c r="I1337" s="6">
        <f>IF($G1337="正常",$H1337/60,"")</f>
        <v/>
      </c>
      <c r="J1337" s="7">
        <f>IF($G1337="正常",ROUND($H1337/30,0)/2,"")</f>
        <v/>
      </c>
      <c r="K1337" s="7">
        <f>IF($G1337="正常",MIN($J1337,12),"")</f>
        <v/>
      </c>
      <c r="L1337" s="7">
        <f>IF($G1337="正常",MAX($J1337-12,0),"")</f>
        <v/>
      </c>
    </row>
    <row r="1338">
      <c r="A1338" s="8" t="inlineStr">
        <is>
          <t>刘邓</t>
        </is>
      </c>
      <c r="B1338" s="8" t="inlineStr">
        <is>
          <t>8/4</t>
        </is>
      </c>
      <c r="C1338" s="8" t="inlineStr">
        <is>
          <t>二</t>
        </is>
      </c>
      <c r="D1338" s="8" t="inlineStr"/>
      <c r="E1338" s="9" t="n"/>
      <c r="F1338" s="9" t="n"/>
      <c r="G1338" s="10">
        <f>IF($E1338="","空卡",IF($F1338="","单卡","正常"))</f>
        <v/>
      </c>
      <c r="H1338" s="11">
        <f>IF($G1338="正常",ROUND(($F1338-$E1338)*1440,0),"")</f>
        <v/>
      </c>
      <c r="I1338" s="12">
        <f>IF($G1338="正常",$H1338/60,"")</f>
        <v/>
      </c>
      <c r="J1338" s="13">
        <f>IF($G1338="正常",ROUND($H1338/30,0)/2,"")</f>
        <v/>
      </c>
      <c r="K1338" s="13">
        <f>IF($G1338="正常",MIN($J1338,12),"")</f>
        <v/>
      </c>
      <c r="L1338" s="13">
        <f>IF($G1338="正常",MAX($J1338-12,0),"")</f>
        <v/>
      </c>
    </row>
    <row r="1339">
      <c r="A1339" s="8" t="inlineStr">
        <is>
          <t>刘邓</t>
        </is>
      </c>
      <c r="B1339" s="8" t="inlineStr">
        <is>
          <t>8/5</t>
        </is>
      </c>
      <c r="C1339" s="8" t="inlineStr">
        <is>
          <t>三</t>
        </is>
      </c>
      <c r="D1339" s="8" t="inlineStr"/>
      <c r="E1339" s="9" t="n"/>
      <c r="F1339" s="9" t="n"/>
      <c r="G1339" s="10">
        <f>IF($E1339="","空卡",IF($F1339="","单卡","正常"))</f>
        <v/>
      </c>
      <c r="H1339" s="11">
        <f>IF($G1339="正常",ROUND(($F1339-$E1339)*1440,0),"")</f>
        <v/>
      </c>
      <c r="I1339" s="12">
        <f>IF($G1339="正常",$H1339/60,"")</f>
        <v/>
      </c>
      <c r="J1339" s="13">
        <f>IF($G1339="正常",ROUND($H1339/30,0)/2,"")</f>
        <v/>
      </c>
      <c r="K1339" s="13">
        <f>IF($G1339="正常",MIN($J1339,12),"")</f>
        <v/>
      </c>
      <c r="L1339" s="13">
        <f>IF($G1339="正常",MAX($J1339-12,0),"")</f>
        <v/>
      </c>
    </row>
    <row r="1340">
      <c r="A1340" s="8" t="inlineStr">
        <is>
          <t>刘邓</t>
        </is>
      </c>
      <c r="B1340" s="8" t="inlineStr">
        <is>
          <t>8/6</t>
        </is>
      </c>
      <c r="C1340" s="8" t="inlineStr">
        <is>
          <t>四</t>
        </is>
      </c>
      <c r="D1340" s="8" t="inlineStr"/>
      <c r="E1340" s="9" t="n"/>
      <c r="F1340" s="9" t="n"/>
      <c r="G1340" s="10">
        <f>IF($E1340="","空卡",IF($F1340="","单卡","正常"))</f>
        <v/>
      </c>
      <c r="H1340" s="11">
        <f>IF($G1340="正常",ROUND(($F1340-$E1340)*1440,0),"")</f>
        <v/>
      </c>
      <c r="I1340" s="12">
        <f>IF($G1340="正常",$H1340/60,"")</f>
        <v/>
      </c>
      <c r="J1340" s="13">
        <f>IF($G1340="正常",ROUND($H1340/30,0)/2,"")</f>
        <v/>
      </c>
      <c r="K1340" s="13">
        <f>IF($G1340="正常",MIN($J1340,12),"")</f>
        <v/>
      </c>
      <c r="L1340" s="13">
        <f>IF($G1340="正常",MAX($J1340-12,0),"")</f>
        <v/>
      </c>
    </row>
    <row r="1341">
      <c r="A1341" s="8" t="inlineStr">
        <is>
          <t>刘邓</t>
        </is>
      </c>
      <c r="B1341" s="8" t="inlineStr">
        <is>
          <t>8/7</t>
        </is>
      </c>
      <c r="C1341" s="8" t="inlineStr">
        <is>
          <t>五</t>
        </is>
      </c>
      <c r="D1341" s="8" t="inlineStr"/>
      <c r="E1341" s="9" t="n"/>
      <c r="F1341" s="9" t="n"/>
      <c r="G1341" s="10">
        <f>IF($E1341="","空卡",IF($F1341="","单卡","正常"))</f>
        <v/>
      </c>
      <c r="H1341" s="11">
        <f>IF($G1341="正常",ROUND(($F1341-$E1341)*1440,0),"")</f>
        <v/>
      </c>
      <c r="I1341" s="12">
        <f>IF($G1341="正常",$H1341/60,"")</f>
        <v/>
      </c>
      <c r="J1341" s="13">
        <f>IF($G1341="正常",ROUND($H1341/30,0)/2,"")</f>
        <v/>
      </c>
      <c r="K1341" s="13">
        <f>IF($G1341="正常",MIN($J1341,12),"")</f>
        <v/>
      </c>
      <c r="L1341" s="13">
        <f>IF($G1341="正常",MAX($J1341-12,0),"")</f>
        <v/>
      </c>
    </row>
    <row r="1342">
      <c r="A1342" s="8" t="inlineStr">
        <is>
          <t>刘邓</t>
        </is>
      </c>
      <c r="B1342" s="8" t="inlineStr">
        <is>
          <t>8/8</t>
        </is>
      </c>
      <c r="C1342" s="8" t="inlineStr">
        <is>
          <t>六</t>
        </is>
      </c>
      <c r="D1342" s="8" t="inlineStr"/>
      <c r="E1342" s="9" t="n"/>
      <c r="F1342" s="9" t="n"/>
      <c r="G1342" s="10">
        <f>IF($E1342="","空卡",IF($F1342="","单卡","正常"))</f>
        <v/>
      </c>
      <c r="H1342" s="11">
        <f>IF($G1342="正常",ROUND(($F1342-$E1342)*1440,0),"")</f>
        <v/>
      </c>
      <c r="I1342" s="12">
        <f>IF($G1342="正常",$H1342/60,"")</f>
        <v/>
      </c>
      <c r="J1342" s="13">
        <f>IF($G1342="正常",ROUND($H1342/30,0)/2,"")</f>
        <v/>
      </c>
      <c r="K1342" s="13">
        <f>IF($G1342="正常",MIN($J1342,12),"")</f>
        <v/>
      </c>
      <c r="L1342" s="13">
        <f>IF($G1342="正常",MAX($J1342-12,0),"")</f>
        <v/>
      </c>
    </row>
    <row r="1343">
      <c r="A1343" s="8" t="inlineStr">
        <is>
          <t>刘邓</t>
        </is>
      </c>
      <c r="B1343" s="8" t="inlineStr">
        <is>
          <t>8/9</t>
        </is>
      </c>
      <c r="C1343" s="8" t="inlineStr">
        <is>
          <t>日</t>
        </is>
      </c>
      <c r="D1343" s="8" t="inlineStr"/>
      <c r="E1343" s="9" t="n"/>
      <c r="F1343" s="9" t="n"/>
      <c r="G1343" s="10">
        <f>IF($E1343="","空卡",IF($F1343="","单卡","正常"))</f>
        <v/>
      </c>
      <c r="H1343" s="11">
        <f>IF($G1343="正常",ROUND(($F1343-$E1343)*1440,0),"")</f>
        <v/>
      </c>
      <c r="I1343" s="12">
        <f>IF($G1343="正常",$H1343/60,"")</f>
        <v/>
      </c>
      <c r="J1343" s="13">
        <f>IF($G1343="正常",ROUND($H1343/30,0)/2,"")</f>
        <v/>
      </c>
      <c r="K1343" s="13">
        <f>IF($G1343="正常",MIN($J1343,12),"")</f>
        <v/>
      </c>
      <c r="L1343" s="13">
        <f>IF($G1343="正常",MAX($J1343-12,0),"")</f>
        <v/>
      </c>
    </row>
    <row r="1344">
      <c r="A1344" s="3" t="inlineStr">
        <is>
          <t>刘邓</t>
        </is>
      </c>
      <c r="B1344" s="3" t="inlineStr">
        <is>
          <t>8/10</t>
        </is>
      </c>
      <c r="C1344" s="3" t="inlineStr">
        <is>
          <t>一</t>
        </is>
      </c>
      <c r="D1344" s="3" t="inlineStr">
        <is>
          <t>11:02 19:58</t>
        </is>
      </c>
      <c r="E1344" s="4" t="n">
        <v>0.4597222222222222</v>
      </c>
      <c r="F1344" s="4" t="n">
        <v>0.8319444444444445</v>
      </c>
      <c r="G1344" s="3">
        <f>IF($E1344="","空卡",IF($F1344="","单卡","正常"))</f>
        <v/>
      </c>
      <c r="H1344" s="5">
        <f>IF($G1344="正常",ROUND(($F1344-$E1344)*1440,0),"")</f>
        <v/>
      </c>
      <c r="I1344" s="6">
        <f>IF($G1344="正常",$H1344/60,"")</f>
        <v/>
      </c>
      <c r="J1344" s="7">
        <f>IF($G1344="正常",ROUND($H1344/30,0)/2,"")</f>
        <v/>
      </c>
      <c r="K1344" s="7">
        <f>IF($G1344="正常",MIN($J1344,12),"")</f>
        <v/>
      </c>
      <c r="L1344" s="7">
        <f>IF($G1344="正常",MAX($J1344-12,0),"")</f>
        <v/>
      </c>
    </row>
    <row r="1345">
      <c r="A1345" s="8" t="inlineStr">
        <is>
          <t>刘邓</t>
        </is>
      </c>
      <c r="B1345" s="8" t="inlineStr">
        <is>
          <t>8/11</t>
        </is>
      </c>
      <c r="C1345" s="8" t="inlineStr">
        <is>
          <t>二</t>
        </is>
      </c>
      <c r="D1345" s="8" t="inlineStr"/>
      <c r="E1345" s="9" t="n"/>
      <c r="F1345" s="9" t="n"/>
      <c r="G1345" s="10">
        <f>IF($E1345="","空卡",IF($F1345="","单卡","正常"))</f>
        <v/>
      </c>
      <c r="H1345" s="11">
        <f>IF($G1345="正常",ROUND(($F1345-$E1345)*1440,0),"")</f>
        <v/>
      </c>
      <c r="I1345" s="12">
        <f>IF($G1345="正常",$H1345/60,"")</f>
        <v/>
      </c>
      <c r="J1345" s="13">
        <f>IF($G1345="正常",ROUND($H1345/30,0)/2,"")</f>
        <v/>
      </c>
      <c r="K1345" s="13">
        <f>IF($G1345="正常",MIN($J1345,12),"")</f>
        <v/>
      </c>
      <c r="L1345" s="13">
        <f>IF($G1345="正常",MAX($J1345-12,0),"")</f>
        <v/>
      </c>
    </row>
    <row r="1346">
      <c r="A1346" s="3" t="inlineStr">
        <is>
          <t>刘邓</t>
        </is>
      </c>
      <c r="B1346" s="3" t="inlineStr">
        <is>
          <t>8/12</t>
        </is>
      </c>
      <c r="C1346" s="3" t="inlineStr">
        <is>
          <t>三</t>
        </is>
      </c>
      <c r="D1346" s="3" t="inlineStr">
        <is>
          <t>11:19 17:15</t>
        </is>
      </c>
      <c r="E1346" s="4" t="n">
        <v>0.4715277777777778</v>
      </c>
      <c r="F1346" s="4" t="n">
        <v>0.71875</v>
      </c>
      <c r="G1346" s="3">
        <f>IF($E1346="","空卡",IF($F1346="","单卡","正常"))</f>
        <v/>
      </c>
      <c r="H1346" s="5">
        <f>IF($G1346="正常",ROUND(($F1346-$E1346)*1440,0),"")</f>
        <v/>
      </c>
      <c r="I1346" s="6">
        <f>IF($G1346="正常",$H1346/60,"")</f>
        <v/>
      </c>
      <c r="J1346" s="7">
        <f>IF($G1346="正常",ROUND($H1346/30,0)/2,"")</f>
        <v/>
      </c>
      <c r="K1346" s="7">
        <f>IF($G1346="正常",MIN($J1346,12),"")</f>
        <v/>
      </c>
      <c r="L1346" s="7">
        <f>IF($G1346="正常",MAX($J1346-12,0),"")</f>
        <v/>
      </c>
    </row>
    <row r="1347">
      <c r="A1347" s="3" t="inlineStr">
        <is>
          <t>刘邓</t>
        </is>
      </c>
      <c r="B1347" s="3" t="inlineStr">
        <is>
          <t>8/13</t>
        </is>
      </c>
      <c r="C1347" s="3" t="inlineStr">
        <is>
          <t>四</t>
        </is>
      </c>
      <c r="D1347" s="3" t="inlineStr">
        <is>
          <t>10:40 17:25</t>
        </is>
      </c>
      <c r="E1347" s="4" t="n">
        <v>0.4444444444444444</v>
      </c>
      <c r="F1347" s="4" t="n">
        <v>0.7256944444444444</v>
      </c>
      <c r="G1347" s="3">
        <f>IF($E1347="","空卡",IF($F1347="","单卡","正常"))</f>
        <v/>
      </c>
      <c r="H1347" s="5">
        <f>IF($G1347="正常",ROUND(($F1347-$E1347)*1440,0),"")</f>
        <v/>
      </c>
      <c r="I1347" s="6">
        <f>IF($G1347="正常",$H1347/60,"")</f>
        <v/>
      </c>
      <c r="J1347" s="7">
        <f>IF($G1347="正常",ROUND($H1347/30,0)/2,"")</f>
        <v/>
      </c>
      <c r="K1347" s="7">
        <f>IF($G1347="正常",MIN($J1347,12),"")</f>
        <v/>
      </c>
      <c r="L1347" s="7">
        <f>IF($G1347="正常",MAX($J1347-12,0),"")</f>
        <v/>
      </c>
    </row>
    <row r="1348">
      <c r="A1348" s="3" t="inlineStr">
        <is>
          <t>刘邓</t>
        </is>
      </c>
      <c r="B1348" s="3" t="inlineStr">
        <is>
          <t>8/14</t>
        </is>
      </c>
      <c r="C1348" s="3" t="inlineStr">
        <is>
          <t>五</t>
        </is>
      </c>
      <c r="D1348" s="3" t="inlineStr">
        <is>
          <t>10:53 20:22</t>
        </is>
      </c>
      <c r="E1348" s="4" t="n">
        <v>0.4534722222222222</v>
      </c>
      <c r="F1348" s="4" t="n">
        <v>0.8486111111111111</v>
      </c>
      <c r="G1348" s="3">
        <f>IF($E1348="","空卡",IF($F1348="","单卡","正常"))</f>
        <v/>
      </c>
      <c r="H1348" s="5">
        <f>IF($G1348="正常",ROUND(($F1348-$E1348)*1440,0),"")</f>
        <v/>
      </c>
      <c r="I1348" s="6">
        <f>IF($G1348="正常",$H1348/60,"")</f>
        <v/>
      </c>
      <c r="J1348" s="7">
        <f>IF($G1348="正常",ROUND($H1348/30,0)/2,"")</f>
        <v/>
      </c>
      <c r="K1348" s="7">
        <f>IF($G1348="正常",MIN($J1348,12),"")</f>
        <v/>
      </c>
      <c r="L1348" s="7">
        <f>IF($G1348="正常",MAX($J1348-12,0),"")</f>
        <v/>
      </c>
    </row>
    <row r="1349">
      <c r="A1349" s="3" t="inlineStr">
        <is>
          <t>刘邓</t>
        </is>
      </c>
      <c r="B1349" s="3" t="inlineStr">
        <is>
          <t>8/15</t>
        </is>
      </c>
      <c r="C1349" s="3" t="inlineStr">
        <is>
          <t>六</t>
        </is>
      </c>
      <c r="D1349" s="3" t="inlineStr">
        <is>
          <t>10:35 18:42</t>
        </is>
      </c>
      <c r="E1349" s="4" t="n">
        <v>0.4409722222222222</v>
      </c>
      <c r="F1349" s="4" t="n">
        <v>0.7791666666666667</v>
      </c>
      <c r="G1349" s="3">
        <f>IF($E1349="","空卡",IF($F1349="","单卡","正常"))</f>
        <v/>
      </c>
      <c r="H1349" s="5">
        <f>IF($G1349="正常",ROUND(($F1349-$E1349)*1440,0),"")</f>
        <v/>
      </c>
      <c r="I1349" s="6">
        <f>IF($G1349="正常",$H1349/60,"")</f>
        <v/>
      </c>
      <c r="J1349" s="7">
        <f>IF($G1349="正常",ROUND($H1349/30,0)/2,"")</f>
        <v/>
      </c>
      <c r="K1349" s="7">
        <f>IF($G1349="正常",MIN($J1349,12),"")</f>
        <v/>
      </c>
      <c r="L1349" s="7">
        <f>IF($G1349="正常",MAX($J1349-12,0),"")</f>
        <v/>
      </c>
    </row>
    <row r="1350">
      <c r="A1350" s="3" t="inlineStr">
        <is>
          <t>刘邓</t>
        </is>
      </c>
      <c r="B1350" s="3" t="inlineStr">
        <is>
          <t>8/16</t>
        </is>
      </c>
      <c r="C1350" s="3" t="inlineStr">
        <is>
          <t>日</t>
        </is>
      </c>
      <c r="D1350" s="3" t="inlineStr">
        <is>
          <t>11:01 18:29</t>
        </is>
      </c>
      <c r="E1350" s="4" t="n">
        <v>0.4590277777777778</v>
      </c>
      <c r="F1350" s="4" t="n">
        <v>0.7701388888888889</v>
      </c>
      <c r="G1350" s="3">
        <f>IF($E1350="","空卡",IF($F1350="","单卡","正常"))</f>
        <v/>
      </c>
      <c r="H1350" s="5">
        <f>IF($G1350="正常",ROUND(($F1350-$E1350)*1440,0),"")</f>
        <v/>
      </c>
      <c r="I1350" s="6">
        <f>IF($G1350="正常",$H1350/60,"")</f>
        <v/>
      </c>
      <c r="J1350" s="7">
        <f>IF($G1350="正常",ROUND($H1350/30,0)/2,"")</f>
        <v/>
      </c>
      <c r="K1350" s="7">
        <f>IF($G1350="正常",MIN($J1350,12),"")</f>
        <v/>
      </c>
      <c r="L1350" s="7">
        <f>IF($G1350="正常",MAX($J1350-12,0),"")</f>
        <v/>
      </c>
    </row>
    <row r="1351">
      <c r="A1351" s="8" t="inlineStr">
        <is>
          <t>刘邓</t>
        </is>
      </c>
      <c r="B1351" s="8" t="inlineStr">
        <is>
          <t>8/17</t>
        </is>
      </c>
      <c r="C1351" s="8" t="inlineStr">
        <is>
          <t>一</t>
        </is>
      </c>
      <c r="D1351" s="8" t="inlineStr"/>
      <c r="E1351" s="9" t="n"/>
      <c r="F1351" s="9" t="n"/>
      <c r="G1351" s="10">
        <f>IF($E1351="","空卡",IF($F1351="","单卡","正常"))</f>
        <v/>
      </c>
      <c r="H1351" s="11">
        <f>IF($G1351="正常",ROUND(($F1351-$E1351)*1440,0),"")</f>
        <v/>
      </c>
      <c r="I1351" s="12">
        <f>IF($G1351="正常",$H1351/60,"")</f>
        <v/>
      </c>
      <c r="J1351" s="13">
        <f>IF($G1351="正常",ROUND($H1351/30,0)/2,"")</f>
        <v/>
      </c>
      <c r="K1351" s="13">
        <f>IF($G1351="正常",MIN($J1351,12),"")</f>
        <v/>
      </c>
      <c r="L1351" s="13">
        <f>IF($G1351="正常",MAX($J1351-12,0),"")</f>
        <v/>
      </c>
    </row>
    <row r="1352">
      <c r="A1352" s="3" t="inlineStr">
        <is>
          <t>刘邓</t>
        </is>
      </c>
      <c r="B1352" s="3" t="inlineStr">
        <is>
          <t>8/18</t>
        </is>
      </c>
      <c r="C1352" s="3" t="inlineStr">
        <is>
          <t>二</t>
        </is>
      </c>
      <c r="D1352" s="3" t="inlineStr">
        <is>
          <t>11:04 17:48</t>
        </is>
      </c>
      <c r="E1352" s="4" t="n">
        <v>0.4611111111111111</v>
      </c>
      <c r="F1352" s="4" t="n">
        <v>0.7416666666666667</v>
      </c>
      <c r="G1352" s="3">
        <f>IF($E1352="","空卡",IF($F1352="","单卡","正常"))</f>
        <v/>
      </c>
      <c r="H1352" s="5">
        <f>IF($G1352="正常",ROUND(($F1352-$E1352)*1440,0),"")</f>
        <v/>
      </c>
      <c r="I1352" s="6">
        <f>IF($G1352="正常",$H1352/60,"")</f>
        <v/>
      </c>
      <c r="J1352" s="7">
        <f>IF($G1352="正常",ROUND($H1352/30,0)/2,"")</f>
        <v/>
      </c>
      <c r="K1352" s="7">
        <f>IF($G1352="正常",MIN($J1352,12),"")</f>
        <v/>
      </c>
      <c r="L1352" s="7">
        <f>IF($G1352="正常",MAX($J1352-12,0),"")</f>
        <v/>
      </c>
    </row>
    <row r="1353">
      <c r="A1353" s="3" t="inlineStr">
        <is>
          <t>刘邓</t>
        </is>
      </c>
      <c r="B1353" s="3" t="inlineStr">
        <is>
          <t>8/19</t>
        </is>
      </c>
      <c r="C1353" s="3" t="inlineStr">
        <is>
          <t>三</t>
        </is>
      </c>
      <c r="D1353" s="3" t="inlineStr">
        <is>
          <t>11:14 20:02</t>
        </is>
      </c>
      <c r="E1353" s="4" t="n">
        <v>0.4680555555555556</v>
      </c>
      <c r="F1353" s="4" t="n">
        <v>0.8347222222222223</v>
      </c>
      <c r="G1353" s="3">
        <f>IF($E1353="","空卡",IF($F1353="","单卡","正常"))</f>
        <v/>
      </c>
      <c r="H1353" s="5">
        <f>IF($G1353="正常",ROUND(($F1353-$E1353)*1440,0),"")</f>
        <v/>
      </c>
      <c r="I1353" s="6">
        <f>IF($G1353="正常",$H1353/60,"")</f>
        <v/>
      </c>
      <c r="J1353" s="7">
        <f>IF($G1353="正常",ROUND($H1353/30,0)/2,"")</f>
        <v/>
      </c>
      <c r="K1353" s="7">
        <f>IF($G1353="正常",MIN($J1353,12),"")</f>
        <v/>
      </c>
      <c r="L1353" s="7">
        <f>IF($G1353="正常",MAX($J1353-12,0),"")</f>
        <v/>
      </c>
    </row>
    <row r="1354">
      <c r="A1354" s="8" t="inlineStr">
        <is>
          <t>刘邓</t>
        </is>
      </c>
      <c r="B1354" s="8" t="inlineStr">
        <is>
          <t>8/20</t>
        </is>
      </c>
      <c r="C1354" s="8" t="inlineStr">
        <is>
          <t>四</t>
        </is>
      </c>
      <c r="D1354" s="8" t="inlineStr">
        <is>
          <t>11:04</t>
        </is>
      </c>
      <c r="E1354" s="9" t="n">
        <v>0.4611111111111111</v>
      </c>
      <c r="F1354" s="9" t="n"/>
      <c r="G1354" s="10">
        <f>IF($E1354="","空卡",IF($F1354="","单卡","正常"))</f>
        <v/>
      </c>
      <c r="H1354" s="11">
        <f>IF($G1354="正常",ROUND(($F1354-$E1354)*1440,0),"")</f>
        <v/>
      </c>
      <c r="I1354" s="12">
        <f>IF($G1354="正常",$H1354/60,"")</f>
        <v/>
      </c>
      <c r="J1354" s="13">
        <f>IF($G1354="正常",ROUND($H1354/30,0)/2,"")</f>
        <v/>
      </c>
      <c r="K1354" s="13">
        <f>IF($G1354="正常",MIN($J1354,12),"")</f>
        <v/>
      </c>
      <c r="L1354" s="13">
        <f>IF($G1354="正常",MAX($J1354-12,0),"")</f>
        <v/>
      </c>
    </row>
    <row r="1355">
      <c r="A1355" s="3" t="inlineStr">
        <is>
          <t>刘邓</t>
        </is>
      </c>
      <c r="B1355" s="3" t="inlineStr">
        <is>
          <t>8/21</t>
        </is>
      </c>
      <c r="C1355" s="3" t="inlineStr">
        <is>
          <t>五</t>
        </is>
      </c>
      <c r="D1355" s="3" t="inlineStr">
        <is>
          <t>10:57 18:17</t>
        </is>
      </c>
      <c r="E1355" s="4" t="n">
        <v>0.45625</v>
      </c>
      <c r="F1355" s="4" t="n">
        <v>0.7618055555555555</v>
      </c>
      <c r="G1355" s="3">
        <f>IF($E1355="","空卡",IF($F1355="","单卡","正常"))</f>
        <v/>
      </c>
      <c r="H1355" s="5">
        <f>IF($G1355="正常",ROUND(($F1355-$E1355)*1440,0),"")</f>
        <v/>
      </c>
      <c r="I1355" s="6">
        <f>IF($G1355="正常",$H1355/60,"")</f>
        <v/>
      </c>
      <c r="J1355" s="7">
        <f>IF($G1355="正常",ROUND($H1355/30,0)/2,"")</f>
        <v/>
      </c>
      <c r="K1355" s="7">
        <f>IF($G1355="正常",MIN($J1355,12),"")</f>
        <v/>
      </c>
      <c r="L1355" s="7">
        <f>IF($G1355="正常",MAX($J1355-12,0),"")</f>
        <v/>
      </c>
    </row>
    <row r="1356">
      <c r="A1356" s="8" t="inlineStr">
        <is>
          <t>刘邓</t>
        </is>
      </c>
      <c r="B1356" s="8" t="inlineStr">
        <is>
          <t>8/22</t>
        </is>
      </c>
      <c r="C1356" s="8" t="inlineStr">
        <is>
          <t>六</t>
        </is>
      </c>
      <c r="D1356" s="8" t="inlineStr"/>
      <c r="E1356" s="9" t="n"/>
      <c r="F1356" s="9" t="n"/>
      <c r="G1356" s="10">
        <f>IF($E1356="","空卡",IF($F1356="","单卡","正常"))</f>
        <v/>
      </c>
      <c r="H1356" s="11">
        <f>IF($G1356="正常",ROUND(($F1356-$E1356)*1440,0),"")</f>
        <v/>
      </c>
      <c r="I1356" s="12">
        <f>IF($G1356="正常",$H1356/60,"")</f>
        <v/>
      </c>
      <c r="J1356" s="13">
        <f>IF($G1356="正常",ROUND($H1356/30,0)/2,"")</f>
        <v/>
      </c>
      <c r="K1356" s="13">
        <f>IF($G1356="正常",MIN($J1356,12),"")</f>
        <v/>
      </c>
      <c r="L1356" s="13">
        <f>IF($G1356="正常",MAX($J1356-12,0),"")</f>
        <v/>
      </c>
    </row>
    <row r="1357">
      <c r="A1357" s="3" t="inlineStr">
        <is>
          <t>刘邓</t>
        </is>
      </c>
      <c r="B1357" s="3" t="inlineStr">
        <is>
          <t>8/23</t>
        </is>
      </c>
      <c r="C1357" s="3" t="inlineStr">
        <is>
          <t>日</t>
        </is>
      </c>
      <c r="D1357" s="3" t="inlineStr">
        <is>
          <t>11:02 17:17</t>
        </is>
      </c>
      <c r="E1357" s="4" t="n">
        <v>0.4597222222222222</v>
      </c>
      <c r="F1357" s="4" t="n">
        <v>0.7201388888888889</v>
      </c>
      <c r="G1357" s="3">
        <f>IF($E1357="","空卡",IF($F1357="","单卡","正常"))</f>
        <v/>
      </c>
      <c r="H1357" s="5">
        <f>IF($G1357="正常",ROUND(($F1357-$E1357)*1440,0),"")</f>
        <v/>
      </c>
      <c r="I1357" s="6">
        <f>IF($G1357="正常",$H1357/60,"")</f>
        <v/>
      </c>
      <c r="J1357" s="7">
        <f>IF($G1357="正常",ROUND($H1357/30,0)/2,"")</f>
        <v/>
      </c>
      <c r="K1357" s="7">
        <f>IF($G1357="正常",MIN($J1357,12),"")</f>
        <v/>
      </c>
      <c r="L1357" s="7">
        <f>IF($G1357="正常",MAX($J1357-12,0),"")</f>
        <v/>
      </c>
    </row>
    <row r="1358">
      <c r="A1358" s="8" t="inlineStr">
        <is>
          <t>刘邓</t>
        </is>
      </c>
      <c r="B1358" s="8" t="inlineStr">
        <is>
          <t>8/24</t>
        </is>
      </c>
      <c r="C1358" s="8" t="inlineStr">
        <is>
          <t>一</t>
        </is>
      </c>
      <c r="D1358" s="8" t="inlineStr"/>
      <c r="E1358" s="9" t="n"/>
      <c r="F1358" s="9" t="n"/>
      <c r="G1358" s="10">
        <f>IF($E1358="","空卡",IF($F1358="","单卡","正常"))</f>
        <v/>
      </c>
      <c r="H1358" s="11">
        <f>IF($G1358="正常",ROUND(($F1358-$E1358)*1440,0),"")</f>
        <v/>
      </c>
      <c r="I1358" s="12">
        <f>IF($G1358="正常",$H1358/60,"")</f>
        <v/>
      </c>
      <c r="J1358" s="13">
        <f>IF($G1358="正常",ROUND($H1358/30,0)/2,"")</f>
        <v/>
      </c>
      <c r="K1358" s="13">
        <f>IF($G1358="正常",MIN($J1358,12),"")</f>
        <v/>
      </c>
      <c r="L1358" s="13">
        <f>IF($G1358="正常",MAX($J1358-12,0),"")</f>
        <v/>
      </c>
    </row>
    <row r="1359">
      <c r="A1359" s="3" t="inlineStr">
        <is>
          <t>刘邓</t>
        </is>
      </c>
      <c r="B1359" s="3" t="inlineStr">
        <is>
          <t>8/25</t>
        </is>
      </c>
      <c r="C1359" s="3" t="inlineStr">
        <is>
          <t>二</t>
        </is>
      </c>
      <c r="D1359" s="3" t="inlineStr">
        <is>
          <t>10:56 18:38</t>
        </is>
      </c>
      <c r="E1359" s="4" t="n">
        <v>0.4555555555555555</v>
      </c>
      <c r="F1359" s="4" t="n">
        <v>0.7763888888888889</v>
      </c>
      <c r="G1359" s="3">
        <f>IF($E1359="","空卡",IF($F1359="","单卡","正常"))</f>
        <v/>
      </c>
      <c r="H1359" s="5">
        <f>IF($G1359="正常",ROUND(($F1359-$E1359)*1440,0),"")</f>
        <v/>
      </c>
      <c r="I1359" s="6">
        <f>IF($G1359="正常",$H1359/60,"")</f>
        <v/>
      </c>
      <c r="J1359" s="7">
        <f>IF($G1359="正常",ROUND($H1359/30,0)/2,"")</f>
        <v/>
      </c>
      <c r="K1359" s="7">
        <f>IF($G1359="正常",MIN($J1359,12),"")</f>
        <v/>
      </c>
      <c r="L1359" s="7">
        <f>IF($G1359="正常",MAX($J1359-12,0),"")</f>
        <v/>
      </c>
    </row>
    <row r="1360">
      <c r="A1360" s="3" t="inlineStr">
        <is>
          <t>刘邓</t>
        </is>
      </c>
      <c r="B1360" s="3" t="inlineStr">
        <is>
          <t>8/26</t>
        </is>
      </c>
      <c r="C1360" s="3" t="inlineStr">
        <is>
          <t>三</t>
        </is>
      </c>
      <c r="D1360" s="3" t="inlineStr">
        <is>
          <t>11:20 18:56</t>
        </is>
      </c>
      <c r="E1360" s="4" t="n">
        <v>0.4722222222222222</v>
      </c>
      <c r="F1360" s="4" t="n">
        <v>0.7888888888888889</v>
      </c>
      <c r="G1360" s="3">
        <f>IF($E1360="","空卡",IF($F1360="","单卡","正常"))</f>
        <v/>
      </c>
      <c r="H1360" s="5">
        <f>IF($G1360="正常",ROUND(($F1360-$E1360)*1440,0),"")</f>
        <v/>
      </c>
      <c r="I1360" s="6">
        <f>IF($G1360="正常",$H1360/60,"")</f>
        <v/>
      </c>
      <c r="J1360" s="7">
        <f>IF($G1360="正常",ROUND($H1360/30,0)/2,"")</f>
        <v/>
      </c>
      <c r="K1360" s="7">
        <f>IF($G1360="正常",MIN($J1360,12),"")</f>
        <v/>
      </c>
      <c r="L1360" s="7">
        <f>IF($G1360="正常",MAX($J1360-12,0),"")</f>
        <v/>
      </c>
    </row>
    <row r="1361">
      <c r="A1361" s="3" t="inlineStr">
        <is>
          <t>刘邓</t>
        </is>
      </c>
      <c r="B1361" s="3" t="inlineStr">
        <is>
          <t>8/27</t>
        </is>
      </c>
      <c r="C1361" s="3" t="inlineStr">
        <is>
          <t>四</t>
        </is>
      </c>
      <c r="D1361" s="3" t="inlineStr">
        <is>
          <t>11:01 18:46</t>
        </is>
      </c>
      <c r="E1361" s="4" t="n">
        <v>0.4590277777777778</v>
      </c>
      <c r="F1361" s="4" t="n">
        <v>0.7819444444444444</v>
      </c>
      <c r="G1361" s="3">
        <f>IF($E1361="","空卡",IF($F1361="","单卡","正常"))</f>
        <v/>
      </c>
      <c r="H1361" s="5">
        <f>IF($G1361="正常",ROUND(($F1361-$E1361)*1440,0),"")</f>
        <v/>
      </c>
      <c r="I1361" s="6">
        <f>IF($G1361="正常",$H1361/60,"")</f>
        <v/>
      </c>
      <c r="J1361" s="7">
        <f>IF($G1361="正常",ROUND($H1361/30,0)/2,"")</f>
        <v/>
      </c>
      <c r="K1361" s="7">
        <f>IF($G1361="正常",MIN($J1361,12),"")</f>
        <v/>
      </c>
      <c r="L1361" s="7">
        <f>IF($G1361="正常",MAX($J1361-12,0),"")</f>
        <v/>
      </c>
    </row>
    <row r="1362">
      <c r="A1362" s="3" t="inlineStr">
        <is>
          <t>刘邓</t>
        </is>
      </c>
      <c r="B1362" s="3" t="inlineStr">
        <is>
          <t>8/28</t>
        </is>
      </c>
      <c r="C1362" s="3" t="inlineStr">
        <is>
          <t>五</t>
        </is>
      </c>
      <c r="D1362" s="3" t="inlineStr">
        <is>
          <t>10:58 16:28</t>
        </is>
      </c>
      <c r="E1362" s="4" t="n">
        <v>0.4569444444444444</v>
      </c>
      <c r="F1362" s="4" t="n">
        <v>0.6861111111111111</v>
      </c>
      <c r="G1362" s="3">
        <f>IF($E1362="","空卡",IF($F1362="","单卡","正常"))</f>
        <v/>
      </c>
      <c r="H1362" s="5">
        <f>IF($G1362="正常",ROUND(($F1362-$E1362)*1440,0),"")</f>
        <v/>
      </c>
      <c r="I1362" s="6">
        <f>IF($G1362="正常",$H1362/60,"")</f>
        <v/>
      </c>
      <c r="J1362" s="7">
        <f>IF($G1362="正常",ROUND($H1362/30,0)/2,"")</f>
        <v/>
      </c>
      <c r="K1362" s="7">
        <f>IF($G1362="正常",MIN($J1362,12),"")</f>
        <v/>
      </c>
      <c r="L1362" s="7">
        <f>IF($G1362="正常",MAX($J1362-12,0),"")</f>
        <v/>
      </c>
    </row>
    <row r="1363">
      <c r="A1363" s="3" t="inlineStr">
        <is>
          <t>刘邓</t>
        </is>
      </c>
      <c r="B1363" s="3" t="inlineStr">
        <is>
          <t>8/29</t>
        </is>
      </c>
      <c r="C1363" s="3" t="inlineStr">
        <is>
          <t>六</t>
        </is>
      </c>
      <c r="D1363" s="3" t="inlineStr">
        <is>
          <t>11:09 20:24</t>
        </is>
      </c>
      <c r="E1363" s="4" t="n">
        <v>0.4645833333333333</v>
      </c>
      <c r="F1363" s="4" t="n">
        <v>0.85</v>
      </c>
      <c r="G1363" s="3">
        <f>IF($E1363="","空卡",IF($F1363="","单卡","正常"))</f>
        <v/>
      </c>
      <c r="H1363" s="5">
        <f>IF($G1363="正常",ROUND(($F1363-$E1363)*1440,0),"")</f>
        <v/>
      </c>
      <c r="I1363" s="6">
        <f>IF($G1363="正常",$H1363/60,"")</f>
        <v/>
      </c>
      <c r="J1363" s="7">
        <f>IF($G1363="正常",ROUND($H1363/30,0)/2,"")</f>
        <v/>
      </c>
      <c r="K1363" s="7">
        <f>IF($G1363="正常",MIN($J1363,12),"")</f>
        <v/>
      </c>
      <c r="L1363" s="7">
        <f>IF($G1363="正常",MAX($J1363-12,0),"")</f>
        <v/>
      </c>
    </row>
    <row r="1364">
      <c r="A1364" s="8" t="inlineStr">
        <is>
          <t>刘邓</t>
        </is>
      </c>
      <c r="B1364" s="8" t="inlineStr">
        <is>
          <t>8/30</t>
        </is>
      </c>
      <c r="C1364" s="8" t="inlineStr">
        <is>
          <t>日</t>
        </is>
      </c>
      <c r="D1364" s="8" t="inlineStr"/>
      <c r="E1364" s="9" t="n"/>
      <c r="F1364" s="9" t="n"/>
      <c r="G1364" s="10">
        <f>IF($E1364="","空卡",IF($F1364="","单卡","正常"))</f>
        <v/>
      </c>
      <c r="H1364" s="11">
        <f>IF($G1364="正常",ROUND(($F1364-$E1364)*1440,0),"")</f>
        <v/>
      </c>
      <c r="I1364" s="12">
        <f>IF($G1364="正常",$H1364/60,"")</f>
        <v/>
      </c>
      <c r="J1364" s="13">
        <f>IF($G1364="正常",ROUND($H1364/30,0)/2,"")</f>
        <v/>
      </c>
      <c r="K1364" s="13">
        <f>IF($G1364="正常",MIN($J1364,12),"")</f>
        <v/>
      </c>
      <c r="L1364" s="13">
        <f>IF($G1364="正常",MAX($J1364-12,0),"")</f>
        <v/>
      </c>
    </row>
    <row r="1365">
      <c r="A1365" s="8" t="inlineStr">
        <is>
          <t>刘邓</t>
        </is>
      </c>
      <c r="B1365" s="8" t="inlineStr">
        <is>
          <t>8/31</t>
        </is>
      </c>
      <c r="C1365" s="8" t="inlineStr">
        <is>
          <t>一</t>
        </is>
      </c>
      <c r="D1365" s="8" t="inlineStr"/>
      <c r="E1365" s="9" t="n"/>
      <c r="F1365" s="9" t="n"/>
      <c r="G1365" s="10">
        <f>IF($E1365="","空卡",IF($F1365="","单卡","正常"))</f>
        <v/>
      </c>
      <c r="H1365" s="11">
        <f>IF($G1365="正常",ROUND(($F1365-$E1365)*1440,0),"")</f>
        <v/>
      </c>
      <c r="I1365" s="12">
        <f>IF($G1365="正常",$H1365/60,"")</f>
        <v/>
      </c>
      <c r="J1365" s="13">
        <f>IF($G1365="正常",ROUND($H1365/30,0)/2,"")</f>
        <v/>
      </c>
      <c r="K1365" s="13">
        <f>IF($G1365="正常",MIN($J1365,12),"")</f>
        <v/>
      </c>
      <c r="L1365" s="13">
        <f>IF($G1365="正常",MAX($J1365-12,0),"")</f>
        <v/>
      </c>
    </row>
    <row r="1366">
      <c r="A1366" s="3" t="inlineStr">
        <is>
          <t>文亚</t>
        </is>
      </c>
      <c r="B1366" s="3" t="inlineStr">
        <is>
          <t>8/1</t>
        </is>
      </c>
      <c r="C1366" s="3" t="inlineStr">
        <is>
          <t>六</t>
        </is>
      </c>
      <c r="D1366" s="3" t="inlineStr">
        <is>
          <t>08:23 17:01</t>
        </is>
      </c>
      <c r="E1366" s="4" t="n">
        <v>0.3493055555555555</v>
      </c>
      <c r="F1366" s="4" t="n">
        <v>0.7090277777777778</v>
      </c>
      <c r="G1366" s="3">
        <f>IF($E1366="","空卡",IF($F1366="","单卡","正常"))</f>
        <v/>
      </c>
      <c r="H1366" s="5">
        <f>IF($G1366="正常",ROUND(($F1366-$E1366)*1440,0),"")</f>
        <v/>
      </c>
      <c r="I1366" s="6">
        <f>IF($G1366="正常",$H1366/60,"")</f>
        <v/>
      </c>
      <c r="J1366" s="7">
        <f>IF($G1366="正常",ROUND($H1366/30,0)/2,"")</f>
        <v/>
      </c>
      <c r="K1366" s="7">
        <f>IF($G1366="正常",MIN($J1366,12),"")</f>
        <v/>
      </c>
      <c r="L1366" s="7">
        <f>IF($G1366="正常",MAX($J1366-12,0),"")</f>
        <v/>
      </c>
    </row>
    <row r="1367">
      <c r="A1367" s="3" t="inlineStr">
        <is>
          <t>文亚</t>
        </is>
      </c>
      <c r="B1367" s="3" t="inlineStr">
        <is>
          <t>8/2</t>
        </is>
      </c>
      <c r="C1367" s="3" t="inlineStr">
        <is>
          <t>日</t>
        </is>
      </c>
      <c r="D1367" s="3" t="inlineStr">
        <is>
          <t>07:53 14:59</t>
        </is>
      </c>
      <c r="E1367" s="4" t="n">
        <v>0.3284722222222222</v>
      </c>
      <c r="F1367" s="4" t="n">
        <v>0.6243055555555556</v>
      </c>
      <c r="G1367" s="3">
        <f>IF($E1367="","空卡",IF($F1367="","单卡","正常"))</f>
        <v/>
      </c>
      <c r="H1367" s="5">
        <f>IF($G1367="正常",ROUND(($F1367-$E1367)*1440,0),"")</f>
        <v/>
      </c>
      <c r="I1367" s="6">
        <f>IF($G1367="正常",$H1367/60,"")</f>
        <v/>
      </c>
      <c r="J1367" s="7">
        <f>IF($G1367="正常",ROUND($H1367/30,0)/2,"")</f>
        <v/>
      </c>
      <c r="K1367" s="7">
        <f>IF($G1367="正常",MIN($J1367,12),"")</f>
        <v/>
      </c>
      <c r="L1367" s="7">
        <f>IF($G1367="正常",MAX($J1367-12,0),"")</f>
        <v/>
      </c>
    </row>
    <row r="1368">
      <c r="A1368" s="3" t="inlineStr">
        <is>
          <t>文亚</t>
        </is>
      </c>
      <c r="B1368" s="3" t="inlineStr">
        <is>
          <t>8/3</t>
        </is>
      </c>
      <c r="C1368" s="3" t="inlineStr">
        <is>
          <t>一</t>
        </is>
      </c>
      <c r="D1368" s="3" t="inlineStr">
        <is>
          <t>08:25 15:31</t>
        </is>
      </c>
      <c r="E1368" s="4" t="n">
        <v>0.3506944444444444</v>
      </c>
      <c r="F1368" s="4" t="n">
        <v>0.6465277777777778</v>
      </c>
      <c r="G1368" s="3">
        <f>IF($E1368="","空卡",IF($F1368="","单卡","正常"))</f>
        <v/>
      </c>
      <c r="H1368" s="5">
        <f>IF($G1368="正常",ROUND(($F1368-$E1368)*1440,0),"")</f>
        <v/>
      </c>
      <c r="I1368" s="6">
        <f>IF($G1368="正常",$H1368/60,"")</f>
        <v/>
      </c>
      <c r="J1368" s="7">
        <f>IF($G1368="正常",ROUND($H1368/30,0)/2,"")</f>
        <v/>
      </c>
      <c r="K1368" s="7">
        <f>IF($G1368="正常",MIN($J1368,12),"")</f>
        <v/>
      </c>
      <c r="L1368" s="7">
        <f>IF($G1368="正常",MAX($J1368-12,0),"")</f>
        <v/>
      </c>
    </row>
    <row r="1369">
      <c r="A1369" s="3" t="inlineStr">
        <is>
          <t>文亚</t>
        </is>
      </c>
      <c r="B1369" s="3" t="inlineStr">
        <is>
          <t>8/4</t>
        </is>
      </c>
      <c r="C1369" s="3" t="inlineStr">
        <is>
          <t>二</t>
        </is>
      </c>
      <c r="D1369" s="3" t="inlineStr">
        <is>
          <t>08:24 19:31</t>
        </is>
      </c>
      <c r="E1369" s="4" t="n">
        <v>0.35</v>
      </c>
      <c r="F1369" s="4" t="n">
        <v>0.8131944444444444</v>
      </c>
      <c r="G1369" s="3">
        <f>IF($E1369="","空卡",IF($F1369="","单卡","正常"))</f>
        <v/>
      </c>
      <c r="H1369" s="5">
        <f>IF($G1369="正常",ROUND(($F1369-$E1369)*1440,0),"")</f>
        <v/>
      </c>
      <c r="I1369" s="6">
        <f>IF($G1369="正常",$H1369/60,"")</f>
        <v/>
      </c>
      <c r="J1369" s="7">
        <f>IF($G1369="正常",ROUND($H1369/30,0)/2,"")</f>
        <v/>
      </c>
      <c r="K1369" s="7">
        <f>IF($G1369="正常",MIN($J1369,12),"")</f>
        <v/>
      </c>
      <c r="L1369" s="7">
        <f>IF($G1369="正常",MAX($J1369-12,0),"")</f>
        <v/>
      </c>
    </row>
    <row r="1370">
      <c r="A1370" s="3" t="inlineStr">
        <is>
          <t>文亚</t>
        </is>
      </c>
      <c r="B1370" s="3" t="inlineStr">
        <is>
          <t>8/5</t>
        </is>
      </c>
      <c r="C1370" s="3" t="inlineStr">
        <is>
          <t>三</t>
        </is>
      </c>
      <c r="D1370" s="3" t="inlineStr">
        <is>
          <t>09:46 19:36</t>
        </is>
      </c>
      <c r="E1370" s="4" t="n">
        <v>0.4069444444444444</v>
      </c>
      <c r="F1370" s="4" t="n">
        <v>0.8166666666666667</v>
      </c>
      <c r="G1370" s="3">
        <f>IF($E1370="","空卡",IF($F1370="","单卡","正常"))</f>
        <v/>
      </c>
      <c r="H1370" s="5">
        <f>IF($G1370="正常",ROUND(($F1370-$E1370)*1440,0),"")</f>
        <v/>
      </c>
      <c r="I1370" s="6">
        <f>IF($G1370="正常",$H1370/60,"")</f>
        <v/>
      </c>
      <c r="J1370" s="7">
        <f>IF($G1370="正常",ROUND($H1370/30,0)/2,"")</f>
        <v/>
      </c>
      <c r="K1370" s="7">
        <f>IF($G1370="正常",MIN($J1370,12),"")</f>
        <v/>
      </c>
      <c r="L1370" s="7">
        <f>IF($G1370="正常",MAX($J1370-12,0),"")</f>
        <v/>
      </c>
    </row>
    <row r="1371">
      <c r="A1371" s="3" t="inlineStr">
        <is>
          <t>文亚</t>
        </is>
      </c>
      <c r="B1371" s="3" t="inlineStr">
        <is>
          <t>8/6</t>
        </is>
      </c>
      <c r="C1371" s="3" t="inlineStr">
        <is>
          <t>四</t>
        </is>
      </c>
      <c r="D1371" s="3" t="inlineStr">
        <is>
          <t>08:51 19:01</t>
        </is>
      </c>
      <c r="E1371" s="4" t="n">
        <v>0.36875</v>
      </c>
      <c r="F1371" s="4" t="n">
        <v>0.7923611111111111</v>
      </c>
      <c r="G1371" s="3">
        <f>IF($E1371="","空卡",IF($F1371="","单卡","正常"))</f>
        <v/>
      </c>
      <c r="H1371" s="5">
        <f>IF($G1371="正常",ROUND(($F1371-$E1371)*1440,0),"")</f>
        <v/>
      </c>
      <c r="I1371" s="6">
        <f>IF($G1371="正常",$H1371/60,"")</f>
        <v/>
      </c>
      <c r="J1371" s="7">
        <f>IF($G1371="正常",ROUND($H1371/30,0)/2,"")</f>
        <v/>
      </c>
      <c r="K1371" s="7">
        <f>IF($G1371="正常",MIN($J1371,12),"")</f>
        <v/>
      </c>
      <c r="L1371" s="7">
        <f>IF($G1371="正常",MAX($J1371-12,0),"")</f>
        <v/>
      </c>
    </row>
    <row r="1372">
      <c r="A1372" s="3" t="inlineStr">
        <is>
          <t>文亚</t>
        </is>
      </c>
      <c r="B1372" s="3" t="inlineStr">
        <is>
          <t>8/7</t>
        </is>
      </c>
      <c r="C1372" s="3" t="inlineStr">
        <is>
          <t>五</t>
        </is>
      </c>
      <c r="D1372" s="3" t="inlineStr">
        <is>
          <t>08:27 20:01</t>
        </is>
      </c>
      <c r="E1372" s="4" t="n">
        <v>0.3520833333333334</v>
      </c>
      <c r="F1372" s="4" t="n">
        <v>0.8340277777777778</v>
      </c>
      <c r="G1372" s="3">
        <f>IF($E1372="","空卡",IF($F1372="","单卡","正常"))</f>
        <v/>
      </c>
      <c r="H1372" s="5">
        <f>IF($G1372="正常",ROUND(($F1372-$E1372)*1440,0),"")</f>
        <v/>
      </c>
      <c r="I1372" s="6">
        <f>IF($G1372="正常",$H1372/60,"")</f>
        <v/>
      </c>
      <c r="J1372" s="7">
        <f>IF($G1372="正常",ROUND($H1372/30,0)/2,"")</f>
        <v/>
      </c>
      <c r="K1372" s="7">
        <f>IF($G1372="正常",MIN($J1372,12),"")</f>
        <v/>
      </c>
      <c r="L1372" s="7">
        <f>IF($G1372="正常",MAX($J1372-12,0),"")</f>
        <v/>
      </c>
    </row>
    <row r="1373">
      <c r="A1373" s="8" t="inlineStr">
        <is>
          <t>文亚</t>
        </is>
      </c>
      <c r="B1373" s="8" t="inlineStr">
        <is>
          <t>8/8</t>
        </is>
      </c>
      <c r="C1373" s="8" t="inlineStr">
        <is>
          <t>六</t>
        </is>
      </c>
      <c r="D1373" s="8" t="inlineStr"/>
      <c r="E1373" s="9" t="n"/>
      <c r="F1373" s="9" t="n"/>
      <c r="G1373" s="10">
        <f>IF($E1373="","空卡",IF($F1373="","单卡","正常"))</f>
        <v/>
      </c>
      <c r="H1373" s="11">
        <f>IF($G1373="正常",ROUND(($F1373-$E1373)*1440,0),"")</f>
        <v/>
      </c>
      <c r="I1373" s="12">
        <f>IF($G1373="正常",$H1373/60,"")</f>
        <v/>
      </c>
      <c r="J1373" s="13">
        <f>IF($G1373="正常",ROUND($H1373/30,0)/2,"")</f>
        <v/>
      </c>
      <c r="K1373" s="13">
        <f>IF($G1373="正常",MIN($J1373,12),"")</f>
        <v/>
      </c>
      <c r="L1373" s="13">
        <f>IF($G1373="正常",MAX($J1373-12,0),"")</f>
        <v/>
      </c>
    </row>
    <row r="1374">
      <c r="A1374" s="8" t="inlineStr">
        <is>
          <t>文亚</t>
        </is>
      </c>
      <c r="B1374" s="8" t="inlineStr">
        <is>
          <t>8/9</t>
        </is>
      </c>
      <c r="C1374" s="8" t="inlineStr">
        <is>
          <t>日</t>
        </is>
      </c>
      <c r="D1374" s="8" t="inlineStr"/>
      <c r="E1374" s="9" t="n"/>
      <c r="F1374" s="9" t="n"/>
      <c r="G1374" s="10">
        <f>IF($E1374="","空卡",IF($F1374="","单卡","正常"))</f>
        <v/>
      </c>
      <c r="H1374" s="11">
        <f>IF($G1374="正常",ROUND(($F1374-$E1374)*1440,0),"")</f>
        <v/>
      </c>
      <c r="I1374" s="12">
        <f>IF($G1374="正常",$H1374/60,"")</f>
        <v/>
      </c>
      <c r="J1374" s="13">
        <f>IF($G1374="正常",ROUND($H1374/30,0)/2,"")</f>
        <v/>
      </c>
      <c r="K1374" s="13">
        <f>IF($G1374="正常",MIN($J1374,12),"")</f>
        <v/>
      </c>
      <c r="L1374" s="13">
        <f>IF($G1374="正常",MAX($J1374-12,0),"")</f>
        <v/>
      </c>
    </row>
    <row r="1375">
      <c r="A1375" s="3" t="inlineStr">
        <is>
          <t>文亚</t>
        </is>
      </c>
      <c r="B1375" s="3" t="inlineStr">
        <is>
          <t>8/10</t>
        </is>
      </c>
      <c r="C1375" s="3" t="inlineStr">
        <is>
          <t>一</t>
        </is>
      </c>
      <c r="D1375" s="3" t="inlineStr">
        <is>
          <t>08:26 19:29</t>
        </is>
      </c>
      <c r="E1375" s="4" t="n">
        <v>0.3513888888888889</v>
      </c>
      <c r="F1375" s="4" t="n">
        <v>0.8118055555555556</v>
      </c>
      <c r="G1375" s="3">
        <f>IF($E1375="","空卡",IF($F1375="","单卡","正常"))</f>
        <v/>
      </c>
      <c r="H1375" s="5">
        <f>IF($G1375="正常",ROUND(($F1375-$E1375)*1440,0),"")</f>
        <v/>
      </c>
      <c r="I1375" s="6">
        <f>IF($G1375="正常",$H1375/60,"")</f>
        <v/>
      </c>
      <c r="J1375" s="7">
        <f>IF($G1375="正常",ROUND($H1375/30,0)/2,"")</f>
        <v/>
      </c>
      <c r="K1375" s="7">
        <f>IF($G1375="正常",MIN($J1375,12),"")</f>
        <v/>
      </c>
      <c r="L1375" s="7">
        <f>IF($G1375="正常",MAX($J1375-12,0),"")</f>
        <v/>
      </c>
    </row>
    <row r="1376">
      <c r="A1376" s="3" t="inlineStr">
        <is>
          <t>文亚</t>
        </is>
      </c>
      <c r="B1376" s="3" t="inlineStr">
        <is>
          <t>8/11</t>
        </is>
      </c>
      <c r="C1376" s="3" t="inlineStr">
        <is>
          <t>二</t>
        </is>
      </c>
      <c r="D1376" s="3" t="inlineStr">
        <is>
          <t>08:23 18:06</t>
        </is>
      </c>
      <c r="E1376" s="4" t="n">
        <v>0.3493055555555555</v>
      </c>
      <c r="F1376" s="4" t="n">
        <v>0.7541666666666667</v>
      </c>
      <c r="G1376" s="3">
        <f>IF($E1376="","空卡",IF($F1376="","单卡","正常"))</f>
        <v/>
      </c>
      <c r="H1376" s="5">
        <f>IF($G1376="正常",ROUND(($F1376-$E1376)*1440,0),"")</f>
        <v/>
      </c>
      <c r="I1376" s="6">
        <f>IF($G1376="正常",$H1376/60,"")</f>
        <v/>
      </c>
      <c r="J1376" s="7">
        <f>IF($G1376="正常",ROUND($H1376/30,0)/2,"")</f>
        <v/>
      </c>
      <c r="K1376" s="7">
        <f>IF($G1376="正常",MIN($J1376,12),"")</f>
        <v/>
      </c>
      <c r="L1376" s="7">
        <f>IF($G1376="正常",MAX($J1376-12,0),"")</f>
        <v/>
      </c>
    </row>
    <row r="1377">
      <c r="A1377" s="3" t="inlineStr">
        <is>
          <t>文亚</t>
        </is>
      </c>
      <c r="B1377" s="3" t="inlineStr">
        <is>
          <t>8/12</t>
        </is>
      </c>
      <c r="C1377" s="3" t="inlineStr">
        <is>
          <t>三</t>
        </is>
      </c>
      <c r="D1377" s="3" t="inlineStr">
        <is>
          <t>08:27 18:35</t>
        </is>
      </c>
      <c r="E1377" s="4" t="n">
        <v>0.3520833333333334</v>
      </c>
      <c r="F1377" s="4" t="n">
        <v>0.7743055555555556</v>
      </c>
      <c r="G1377" s="3">
        <f>IF($E1377="","空卡",IF($F1377="","单卡","正常"))</f>
        <v/>
      </c>
      <c r="H1377" s="5">
        <f>IF($G1377="正常",ROUND(($F1377-$E1377)*1440,0),"")</f>
        <v/>
      </c>
      <c r="I1377" s="6">
        <f>IF($G1377="正常",$H1377/60,"")</f>
        <v/>
      </c>
      <c r="J1377" s="7">
        <f>IF($G1377="正常",ROUND($H1377/30,0)/2,"")</f>
        <v/>
      </c>
      <c r="K1377" s="7">
        <f>IF($G1377="正常",MIN($J1377,12),"")</f>
        <v/>
      </c>
      <c r="L1377" s="7">
        <f>IF($G1377="正常",MAX($J1377-12,0),"")</f>
        <v/>
      </c>
    </row>
    <row r="1378">
      <c r="A1378" s="3" t="inlineStr">
        <is>
          <t>文亚</t>
        </is>
      </c>
      <c r="B1378" s="3" t="inlineStr">
        <is>
          <t>8/13</t>
        </is>
      </c>
      <c r="C1378" s="3" t="inlineStr">
        <is>
          <t>四</t>
        </is>
      </c>
      <c r="D1378" s="3" t="inlineStr">
        <is>
          <t>08:22 19:03</t>
        </is>
      </c>
      <c r="E1378" s="4" t="n">
        <v>0.3486111111111111</v>
      </c>
      <c r="F1378" s="4" t="n">
        <v>0.79375</v>
      </c>
      <c r="G1378" s="3">
        <f>IF($E1378="","空卡",IF($F1378="","单卡","正常"))</f>
        <v/>
      </c>
      <c r="H1378" s="5">
        <f>IF($G1378="正常",ROUND(($F1378-$E1378)*1440,0),"")</f>
        <v/>
      </c>
      <c r="I1378" s="6">
        <f>IF($G1378="正常",$H1378/60,"")</f>
        <v/>
      </c>
      <c r="J1378" s="7">
        <f>IF($G1378="正常",ROUND($H1378/30,0)/2,"")</f>
        <v/>
      </c>
      <c r="K1378" s="7">
        <f>IF($G1378="正常",MIN($J1378,12),"")</f>
        <v/>
      </c>
      <c r="L1378" s="7">
        <f>IF($G1378="正常",MAX($J1378-12,0),"")</f>
        <v/>
      </c>
    </row>
    <row r="1379">
      <c r="A1379" s="3" t="inlineStr">
        <is>
          <t>文亚</t>
        </is>
      </c>
      <c r="B1379" s="3" t="inlineStr">
        <is>
          <t>8/14</t>
        </is>
      </c>
      <c r="C1379" s="3" t="inlineStr">
        <is>
          <t>五</t>
        </is>
      </c>
      <c r="D1379" s="3" t="inlineStr">
        <is>
          <t>08:22 20:02</t>
        </is>
      </c>
      <c r="E1379" s="4" t="n">
        <v>0.3486111111111111</v>
      </c>
      <c r="F1379" s="4" t="n">
        <v>0.8347222222222223</v>
      </c>
      <c r="G1379" s="3">
        <f>IF($E1379="","空卡",IF($F1379="","单卡","正常"))</f>
        <v/>
      </c>
      <c r="H1379" s="5">
        <f>IF($G1379="正常",ROUND(($F1379-$E1379)*1440,0),"")</f>
        <v/>
      </c>
      <c r="I1379" s="6">
        <f>IF($G1379="正常",$H1379/60,"")</f>
        <v/>
      </c>
      <c r="J1379" s="7">
        <f>IF($G1379="正常",ROUND($H1379/30,0)/2,"")</f>
        <v/>
      </c>
      <c r="K1379" s="7">
        <f>IF($G1379="正常",MIN($J1379,12),"")</f>
        <v/>
      </c>
      <c r="L1379" s="7">
        <f>IF($G1379="正常",MAX($J1379-12,0),"")</f>
        <v/>
      </c>
    </row>
    <row r="1380">
      <c r="A1380" s="3" t="inlineStr">
        <is>
          <t>文亚</t>
        </is>
      </c>
      <c r="B1380" s="3" t="inlineStr">
        <is>
          <t>8/15</t>
        </is>
      </c>
      <c r="C1380" s="3" t="inlineStr">
        <is>
          <t>六</t>
        </is>
      </c>
      <c r="D1380" s="3" t="inlineStr">
        <is>
          <t>06:57 18:58</t>
        </is>
      </c>
      <c r="E1380" s="4" t="n">
        <v>0.2895833333333334</v>
      </c>
      <c r="F1380" s="4" t="n">
        <v>0.7902777777777777</v>
      </c>
      <c r="G1380" s="3">
        <f>IF($E1380="","空卡",IF($F1380="","单卡","正常"))</f>
        <v/>
      </c>
      <c r="H1380" s="5">
        <f>IF($G1380="正常",ROUND(($F1380-$E1380)*1440,0),"")</f>
        <v/>
      </c>
      <c r="I1380" s="6">
        <f>IF($G1380="正常",$H1380/60,"")</f>
        <v/>
      </c>
      <c r="J1380" s="7">
        <f>IF($G1380="正常",ROUND($H1380/30,0)/2,"")</f>
        <v/>
      </c>
      <c r="K1380" s="7">
        <f>IF($G1380="正常",MIN($J1380,12),"")</f>
        <v/>
      </c>
      <c r="L1380" s="7">
        <f>IF($G1380="正常",MAX($J1380-12,0),"")</f>
        <v/>
      </c>
    </row>
    <row r="1381">
      <c r="A1381" s="8" t="inlineStr">
        <is>
          <t>文亚</t>
        </is>
      </c>
      <c r="B1381" s="8" t="inlineStr">
        <is>
          <t>8/16</t>
        </is>
      </c>
      <c r="C1381" s="8" t="inlineStr">
        <is>
          <t>日</t>
        </is>
      </c>
      <c r="D1381" s="8" t="inlineStr"/>
      <c r="E1381" s="9" t="n"/>
      <c r="F1381" s="9" t="n"/>
      <c r="G1381" s="10">
        <f>IF($E1381="","空卡",IF($F1381="","单卡","正常"))</f>
        <v/>
      </c>
      <c r="H1381" s="11">
        <f>IF($G1381="正常",ROUND(($F1381-$E1381)*1440,0),"")</f>
        <v/>
      </c>
      <c r="I1381" s="12">
        <f>IF($G1381="正常",$H1381/60,"")</f>
        <v/>
      </c>
      <c r="J1381" s="13">
        <f>IF($G1381="正常",ROUND($H1381/30,0)/2,"")</f>
        <v/>
      </c>
      <c r="K1381" s="13">
        <f>IF($G1381="正常",MIN($J1381,12),"")</f>
        <v/>
      </c>
      <c r="L1381" s="13">
        <f>IF($G1381="正常",MAX($J1381-12,0),"")</f>
        <v/>
      </c>
    </row>
    <row r="1382">
      <c r="A1382" s="3" t="inlineStr">
        <is>
          <t>文亚</t>
        </is>
      </c>
      <c r="B1382" s="3" t="inlineStr">
        <is>
          <t>8/17</t>
        </is>
      </c>
      <c r="C1382" s="3" t="inlineStr">
        <is>
          <t>一</t>
        </is>
      </c>
      <c r="D1382" s="3" t="inlineStr">
        <is>
          <t>08:25 19:01</t>
        </is>
      </c>
      <c r="E1382" s="4" t="n">
        <v>0.3506944444444444</v>
      </c>
      <c r="F1382" s="4" t="n">
        <v>0.7923611111111111</v>
      </c>
      <c r="G1382" s="3">
        <f>IF($E1382="","空卡",IF($F1382="","单卡","正常"))</f>
        <v/>
      </c>
      <c r="H1382" s="5">
        <f>IF($G1382="正常",ROUND(($F1382-$E1382)*1440,0),"")</f>
        <v/>
      </c>
      <c r="I1382" s="6">
        <f>IF($G1382="正常",$H1382/60,"")</f>
        <v/>
      </c>
      <c r="J1382" s="7">
        <f>IF($G1382="正常",ROUND($H1382/30,0)/2,"")</f>
        <v/>
      </c>
      <c r="K1382" s="7">
        <f>IF($G1382="正常",MIN($J1382,12),"")</f>
        <v/>
      </c>
      <c r="L1382" s="7">
        <f>IF($G1382="正常",MAX($J1382-12,0),"")</f>
        <v/>
      </c>
    </row>
    <row r="1383">
      <c r="A1383" s="8" t="inlineStr">
        <is>
          <t>文亚</t>
        </is>
      </c>
      <c r="B1383" s="8" t="inlineStr">
        <is>
          <t>8/18</t>
        </is>
      </c>
      <c r="C1383" s="8" t="inlineStr">
        <is>
          <t>二</t>
        </is>
      </c>
      <c r="D1383" s="8" t="inlineStr"/>
      <c r="E1383" s="9" t="n"/>
      <c r="F1383" s="9" t="n"/>
      <c r="G1383" s="10">
        <f>IF($E1383="","空卡",IF($F1383="","单卡","正常"))</f>
        <v/>
      </c>
      <c r="H1383" s="11">
        <f>IF($G1383="正常",ROUND(($F1383-$E1383)*1440,0),"")</f>
        <v/>
      </c>
      <c r="I1383" s="12">
        <f>IF($G1383="正常",$H1383/60,"")</f>
        <v/>
      </c>
      <c r="J1383" s="13">
        <f>IF($G1383="正常",ROUND($H1383/30,0)/2,"")</f>
        <v/>
      </c>
      <c r="K1383" s="13">
        <f>IF($G1383="正常",MIN($J1383,12),"")</f>
        <v/>
      </c>
      <c r="L1383" s="13">
        <f>IF($G1383="正常",MAX($J1383-12,0),"")</f>
        <v/>
      </c>
    </row>
    <row r="1384">
      <c r="A1384" s="3" t="inlineStr">
        <is>
          <t>文亚</t>
        </is>
      </c>
      <c r="B1384" s="3" t="inlineStr">
        <is>
          <t>8/19</t>
        </is>
      </c>
      <c r="C1384" s="3" t="inlineStr">
        <is>
          <t>三</t>
        </is>
      </c>
      <c r="D1384" s="3" t="inlineStr">
        <is>
          <t>07:24 19:00</t>
        </is>
      </c>
      <c r="E1384" s="4" t="n">
        <v>0.3083333333333333</v>
      </c>
      <c r="F1384" s="4" t="n">
        <v>0.7916666666666666</v>
      </c>
      <c r="G1384" s="3">
        <f>IF($E1384="","空卡",IF($F1384="","单卡","正常"))</f>
        <v/>
      </c>
      <c r="H1384" s="5">
        <f>IF($G1384="正常",ROUND(($F1384-$E1384)*1440,0),"")</f>
        <v/>
      </c>
      <c r="I1384" s="6">
        <f>IF($G1384="正常",$H1384/60,"")</f>
        <v/>
      </c>
      <c r="J1384" s="7">
        <f>IF($G1384="正常",ROUND($H1384/30,0)/2,"")</f>
        <v/>
      </c>
      <c r="K1384" s="7">
        <f>IF($G1384="正常",MIN($J1384,12),"")</f>
        <v/>
      </c>
      <c r="L1384" s="7">
        <f>IF($G1384="正常",MAX($J1384-12,0),"")</f>
        <v/>
      </c>
    </row>
    <row r="1385">
      <c r="A1385" s="3" t="inlineStr">
        <is>
          <t>文亚</t>
        </is>
      </c>
      <c r="B1385" s="3" t="inlineStr">
        <is>
          <t>8/20</t>
        </is>
      </c>
      <c r="C1385" s="3" t="inlineStr">
        <is>
          <t>四</t>
        </is>
      </c>
      <c r="D1385" s="3" t="inlineStr">
        <is>
          <t>10:26 19:57</t>
        </is>
      </c>
      <c r="E1385" s="4" t="n">
        <v>0.4347222222222222</v>
      </c>
      <c r="F1385" s="4" t="n">
        <v>0.83125</v>
      </c>
      <c r="G1385" s="3">
        <f>IF($E1385="","空卡",IF($F1385="","单卡","正常"))</f>
        <v/>
      </c>
      <c r="H1385" s="5">
        <f>IF($G1385="正常",ROUND(($F1385-$E1385)*1440,0),"")</f>
        <v/>
      </c>
      <c r="I1385" s="6">
        <f>IF($G1385="正常",$H1385/60,"")</f>
        <v/>
      </c>
      <c r="J1385" s="7">
        <f>IF($G1385="正常",ROUND($H1385/30,0)/2,"")</f>
        <v/>
      </c>
      <c r="K1385" s="7">
        <f>IF($G1385="正常",MIN($J1385,12),"")</f>
        <v/>
      </c>
      <c r="L1385" s="7">
        <f>IF($G1385="正常",MAX($J1385-12,0),"")</f>
        <v/>
      </c>
    </row>
    <row r="1386">
      <c r="A1386" s="3" t="inlineStr">
        <is>
          <t>文亚</t>
        </is>
      </c>
      <c r="B1386" s="3" t="inlineStr">
        <is>
          <t>8/21</t>
        </is>
      </c>
      <c r="C1386" s="3" t="inlineStr">
        <is>
          <t>五</t>
        </is>
      </c>
      <c r="D1386" s="3" t="inlineStr">
        <is>
          <t>06:57 19:02</t>
        </is>
      </c>
      <c r="E1386" s="4" t="n">
        <v>0.2895833333333334</v>
      </c>
      <c r="F1386" s="4" t="n">
        <v>0.7930555555555555</v>
      </c>
      <c r="G1386" s="3">
        <f>IF($E1386="","空卡",IF($F1386="","单卡","正常"))</f>
        <v/>
      </c>
      <c r="H1386" s="5">
        <f>IF($G1386="正常",ROUND(($F1386-$E1386)*1440,0),"")</f>
        <v/>
      </c>
      <c r="I1386" s="6">
        <f>IF($G1386="正常",$H1386/60,"")</f>
        <v/>
      </c>
      <c r="J1386" s="7">
        <f>IF($G1386="正常",ROUND($H1386/30,0)/2,"")</f>
        <v/>
      </c>
      <c r="K1386" s="7">
        <f>IF($G1386="正常",MIN($J1386,12),"")</f>
        <v/>
      </c>
      <c r="L1386" s="7">
        <f>IF($G1386="正常",MAX($J1386-12,0),"")</f>
        <v/>
      </c>
    </row>
    <row r="1387">
      <c r="A1387" s="3" t="inlineStr">
        <is>
          <t>文亚</t>
        </is>
      </c>
      <c r="B1387" s="3" t="inlineStr">
        <is>
          <t>8/22</t>
        </is>
      </c>
      <c r="C1387" s="3" t="inlineStr">
        <is>
          <t>六</t>
        </is>
      </c>
      <c r="D1387" s="3" t="inlineStr">
        <is>
          <t>06:54 18:31</t>
        </is>
      </c>
      <c r="E1387" s="4" t="n">
        <v>0.2875</v>
      </c>
      <c r="F1387" s="4" t="n">
        <v>0.7715277777777778</v>
      </c>
      <c r="G1387" s="3">
        <f>IF($E1387="","空卡",IF($F1387="","单卡","正常"))</f>
        <v/>
      </c>
      <c r="H1387" s="5">
        <f>IF($G1387="正常",ROUND(($F1387-$E1387)*1440,0),"")</f>
        <v/>
      </c>
      <c r="I1387" s="6">
        <f>IF($G1387="正常",$H1387/60,"")</f>
        <v/>
      </c>
      <c r="J1387" s="7">
        <f>IF($G1387="正常",ROUND($H1387/30,0)/2,"")</f>
        <v/>
      </c>
      <c r="K1387" s="7">
        <f>IF($G1387="正常",MIN($J1387,12),"")</f>
        <v/>
      </c>
      <c r="L1387" s="7">
        <f>IF($G1387="正常",MAX($J1387-12,0),"")</f>
        <v/>
      </c>
    </row>
    <row r="1388">
      <c r="A1388" s="8" t="inlineStr">
        <is>
          <t>文亚</t>
        </is>
      </c>
      <c r="B1388" s="8" t="inlineStr">
        <is>
          <t>8/23</t>
        </is>
      </c>
      <c r="C1388" s="8" t="inlineStr">
        <is>
          <t>日</t>
        </is>
      </c>
      <c r="D1388" s="8" t="inlineStr"/>
      <c r="E1388" s="9" t="n"/>
      <c r="F1388" s="9" t="n"/>
      <c r="G1388" s="10">
        <f>IF($E1388="","空卡",IF($F1388="","单卡","正常"))</f>
        <v/>
      </c>
      <c r="H1388" s="11">
        <f>IF($G1388="正常",ROUND(($F1388-$E1388)*1440,0),"")</f>
        <v/>
      </c>
      <c r="I1388" s="12">
        <f>IF($G1388="正常",$H1388/60,"")</f>
        <v/>
      </c>
      <c r="J1388" s="13">
        <f>IF($G1388="正常",ROUND($H1388/30,0)/2,"")</f>
        <v/>
      </c>
      <c r="K1388" s="13">
        <f>IF($G1388="正常",MIN($J1388,12),"")</f>
        <v/>
      </c>
      <c r="L1388" s="13">
        <f>IF($G1388="正常",MAX($J1388-12,0),"")</f>
        <v/>
      </c>
    </row>
    <row r="1389">
      <c r="A1389" s="3" t="inlineStr">
        <is>
          <t>文亚</t>
        </is>
      </c>
      <c r="B1389" s="3" t="inlineStr">
        <is>
          <t>8/24</t>
        </is>
      </c>
      <c r="C1389" s="3" t="inlineStr">
        <is>
          <t>一</t>
        </is>
      </c>
      <c r="D1389" s="3" t="inlineStr">
        <is>
          <t>06:52 16:36</t>
        </is>
      </c>
      <c r="E1389" s="4" t="n">
        <v>0.2861111111111111</v>
      </c>
      <c r="F1389" s="4" t="n">
        <v>0.6916666666666667</v>
      </c>
      <c r="G1389" s="3">
        <f>IF($E1389="","空卡",IF($F1389="","单卡","正常"))</f>
        <v/>
      </c>
      <c r="H1389" s="5">
        <f>IF($G1389="正常",ROUND(($F1389-$E1389)*1440,0),"")</f>
        <v/>
      </c>
      <c r="I1389" s="6">
        <f>IF($G1389="正常",$H1389/60,"")</f>
        <v/>
      </c>
      <c r="J1389" s="7">
        <f>IF($G1389="正常",ROUND($H1389/30,0)/2,"")</f>
        <v/>
      </c>
      <c r="K1389" s="7">
        <f>IF($G1389="正常",MIN($J1389,12),"")</f>
        <v/>
      </c>
      <c r="L1389" s="7">
        <f>IF($G1389="正常",MAX($J1389-12,0),"")</f>
        <v/>
      </c>
    </row>
    <row r="1390">
      <c r="A1390" s="3" t="inlineStr">
        <is>
          <t>文亚</t>
        </is>
      </c>
      <c r="B1390" s="3" t="inlineStr">
        <is>
          <t>8/25</t>
        </is>
      </c>
      <c r="C1390" s="3" t="inlineStr">
        <is>
          <t>二</t>
        </is>
      </c>
      <c r="D1390" s="3" t="inlineStr">
        <is>
          <t>08:27 18:35</t>
        </is>
      </c>
      <c r="E1390" s="4" t="n">
        <v>0.3520833333333334</v>
      </c>
      <c r="F1390" s="4" t="n">
        <v>0.7743055555555556</v>
      </c>
      <c r="G1390" s="3">
        <f>IF($E1390="","空卡",IF($F1390="","单卡","正常"))</f>
        <v/>
      </c>
      <c r="H1390" s="5">
        <f>IF($G1390="正常",ROUND(($F1390-$E1390)*1440,0),"")</f>
        <v/>
      </c>
      <c r="I1390" s="6">
        <f>IF($G1390="正常",$H1390/60,"")</f>
        <v/>
      </c>
      <c r="J1390" s="7">
        <f>IF($G1390="正常",ROUND($H1390/30,0)/2,"")</f>
        <v/>
      </c>
      <c r="K1390" s="7">
        <f>IF($G1390="正常",MIN($J1390,12),"")</f>
        <v/>
      </c>
      <c r="L1390" s="7">
        <f>IF($G1390="正常",MAX($J1390-12,0),"")</f>
        <v/>
      </c>
    </row>
    <row r="1391">
      <c r="A1391" s="3" t="inlineStr">
        <is>
          <t>文亚</t>
        </is>
      </c>
      <c r="B1391" s="3" t="inlineStr">
        <is>
          <t>8/26</t>
        </is>
      </c>
      <c r="C1391" s="3" t="inlineStr">
        <is>
          <t>三</t>
        </is>
      </c>
      <c r="D1391" s="3" t="inlineStr">
        <is>
          <t>08:25 18:54</t>
        </is>
      </c>
      <c r="E1391" s="4" t="n">
        <v>0.3506944444444444</v>
      </c>
      <c r="F1391" s="4" t="n">
        <v>0.7875</v>
      </c>
      <c r="G1391" s="3">
        <f>IF($E1391="","空卡",IF($F1391="","单卡","正常"))</f>
        <v/>
      </c>
      <c r="H1391" s="5">
        <f>IF($G1391="正常",ROUND(($F1391-$E1391)*1440,0),"")</f>
        <v/>
      </c>
      <c r="I1391" s="6">
        <f>IF($G1391="正常",$H1391/60,"")</f>
        <v/>
      </c>
      <c r="J1391" s="7">
        <f>IF($G1391="正常",ROUND($H1391/30,0)/2,"")</f>
        <v/>
      </c>
      <c r="K1391" s="7">
        <f>IF($G1391="正常",MIN($J1391,12),"")</f>
        <v/>
      </c>
      <c r="L1391" s="7">
        <f>IF($G1391="正常",MAX($J1391-12,0),"")</f>
        <v/>
      </c>
    </row>
    <row r="1392">
      <c r="A1392" s="3" t="inlineStr">
        <is>
          <t>文亚</t>
        </is>
      </c>
      <c r="B1392" s="3" t="inlineStr">
        <is>
          <t>8/27</t>
        </is>
      </c>
      <c r="C1392" s="3" t="inlineStr">
        <is>
          <t>四</t>
        </is>
      </c>
      <c r="D1392" s="3" t="inlineStr">
        <is>
          <t>08:25 19:05</t>
        </is>
      </c>
      <c r="E1392" s="4" t="n">
        <v>0.3506944444444444</v>
      </c>
      <c r="F1392" s="4" t="n">
        <v>0.7951388888888888</v>
      </c>
      <c r="G1392" s="3">
        <f>IF($E1392="","空卡",IF($F1392="","单卡","正常"))</f>
        <v/>
      </c>
      <c r="H1392" s="5">
        <f>IF($G1392="正常",ROUND(($F1392-$E1392)*1440,0),"")</f>
        <v/>
      </c>
      <c r="I1392" s="6">
        <f>IF($G1392="正常",$H1392/60,"")</f>
        <v/>
      </c>
      <c r="J1392" s="7">
        <f>IF($G1392="正常",ROUND($H1392/30,0)/2,"")</f>
        <v/>
      </c>
      <c r="K1392" s="7">
        <f>IF($G1392="正常",MIN($J1392,12),"")</f>
        <v/>
      </c>
      <c r="L1392" s="7">
        <f>IF($G1392="正常",MAX($J1392-12,0),"")</f>
        <v/>
      </c>
    </row>
    <row r="1393">
      <c r="A1393" s="3" t="inlineStr">
        <is>
          <t>文亚</t>
        </is>
      </c>
      <c r="B1393" s="3" t="inlineStr">
        <is>
          <t>8/28</t>
        </is>
      </c>
      <c r="C1393" s="3" t="inlineStr">
        <is>
          <t>五</t>
        </is>
      </c>
      <c r="D1393" s="3" t="inlineStr">
        <is>
          <t>08:23 18:29</t>
        </is>
      </c>
      <c r="E1393" s="4" t="n">
        <v>0.3493055555555555</v>
      </c>
      <c r="F1393" s="4" t="n">
        <v>0.7701388888888889</v>
      </c>
      <c r="G1393" s="3">
        <f>IF($E1393="","空卡",IF($F1393="","单卡","正常"))</f>
        <v/>
      </c>
      <c r="H1393" s="5">
        <f>IF($G1393="正常",ROUND(($F1393-$E1393)*1440,0),"")</f>
        <v/>
      </c>
      <c r="I1393" s="6">
        <f>IF($G1393="正常",$H1393/60,"")</f>
        <v/>
      </c>
      <c r="J1393" s="7">
        <f>IF($G1393="正常",ROUND($H1393/30,0)/2,"")</f>
        <v/>
      </c>
      <c r="K1393" s="7">
        <f>IF($G1393="正常",MIN($J1393,12),"")</f>
        <v/>
      </c>
      <c r="L1393" s="7">
        <f>IF($G1393="正常",MAX($J1393-12,0),"")</f>
        <v/>
      </c>
    </row>
    <row r="1394">
      <c r="A1394" s="3" t="inlineStr">
        <is>
          <t>文亚</t>
        </is>
      </c>
      <c r="B1394" s="3" t="inlineStr">
        <is>
          <t>8/29</t>
        </is>
      </c>
      <c r="C1394" s="3" t="inlineStr">
        <is>
          <t>六</t>
        </is>
      </c>
      <c r="D1394" s="3" t="inlineStr">
        <is>
          <t>08:27 20:59</t>
        </is>
      </c>
      <c r="E1394" s="4" t="n">
        <v>0.3520833333333334</v>
      </c>
      <c r="F1394" s="4" t="n">
        <v>0.8743055555555556</v>
      </c>
      <c r="G1394" s="3">
        <f>IF($E1394="","空卡",IF($F1394="","单卡","正常"))</f>
        <v/>
      </c>
      <c r="H1394" s="5">
        <f>IF($G1394="正常",ROUND(($F1394-$E1394)*1440,0),"")</f>
        <v/>
      </c>
      <c r="I1394" s="6">
        <f>IF($G1394="正常",$H1394/60,"")</f>
        <v/>
      </c>
      <c r="J1394" s="7">
        <f>IF($G1394="正常",ROUND($H1394/30,0)/2,"")</f>
        <v/>
      </c>
      <c r="K1394" s="7">
        <f>IF($G1394="正常",MIN($J1394,12),"")</f>
        <v/>
      </c>
      <c r="L1394" s="7">
        <f>IF($G1394="正常",MAX($J1394-12,0),"")</f>
        <v/>
      </c>
    </row>
    <row r="1395">
      <c r="A1395" s="3" t="inlineStr">
        <is>
          <t>文亚</t>
        </is>
      </c>
      <c r="B1395" s="3" t="inlineStr">
        <is>
          <t>8/30</t>
        </is>
      </c>
      <c r="C1395" s="3" t="inlineStr">
        <is>
          <t>日</t>
        </is>
      </c>
      <c r="D1395" s="3" t="inlineStr">
        <is>
          <t>08:25 18:41</t>
        </is>
      </c>
      <c r="E1395" s="4" t="n">
        <v>0.3506944444444444</v>
      </c>
      <c r="F1395" s="4" t="n">
        <v>0.7784722222222222</v>
      </c>
      <c r="G1395" s="3">
        <f>IF($E1395="","空卡",IF($F1395="","单卡","正常"))</f>
        <v/>
      </c>
      <c r="H1395" s="5">
        <f>IF($G1395="正常",ROUND(($F1395-$E1395)*1440,0),"")</f>
        <v/>
      </c>
      <c r="I1395" s="6">
        <f>IF($G1395="正常",$H1395/60,"")</f>
        <v/>
      </c>
      <c r="J1395" s="7">
        <f>IF($G1395="正常",ROUND($H1395/30,0)/2,"")</f>
        <v/>
      </c>
      <c r="K1395" s="7">
        <f>IF($G1395="正常",MIN($J1395,12),"")</f>
        <v/>
      </c>
      <c r="L1395" s="7">
        <f>IF($G1395="正常",MAX($J1395-12,0),"")</f>
        <v/>
      </c>
    </row>
    <row r="1396">
      <c r="A1396" s="8" t="inlineStr">
        <is>
          <t>文亚</t>
        </is>
      </c>
      <c r="B1396" s="8" t="inlineStr">
        <is>
          <t>8/31</t>
        </is>
      </c>
      <c r="C1396" s="8" t="inlineStr">
        <is>
          <t>一</t>
        </is>
      </c>
      <c r="D1396" s="8" t="inlineStr"/>
      <c r="E1396" s="9" t="n"/>
      <c r="F1396" s="9" t="n"/>
      <c r="G1396" s="10">
        <f>IF($E1396="","空卡",IF($F1396="","单卡","正常"))</f>
        <v/>
      </c>
      <c r="H1396" s="11">
        <f>IF($G1396="正常",ROUND(($F1396-$E1396)*1440,0),"")</f>
        <v/>
      </c>
      <c r="I1396" s="12">
        <f>IF($G1396="正常",$H1396/60,"")</f>
        <v/>
      </c>
      <c r="J1396" s="13">
        <f>IF($G1396="正常",ROUND($H1396/30,0)/2,"")</f>
        <v/>
      </c>
      <c r="K1396" s="13">
        <f>IF($G1396="正常",MIN($J1396,12),"")</f>
        <v/>
      </c>
      <c r="L1396" s="13">
        <f>IF($G1396="正常",MAX($J1396-12,0),"")</f>
        <v/>
      </c>
    </row>
    <row r="1397">
      <c r="A1397" s="3" t="inlineStr">
        <is>
          <t>廖荣碧</t>
        </is>
      </c>
      <c r="B1397" s="3" t="inlineStr">
        <is>
          <t>8/1</t>
        </is>
      </c>
      <c r="C1397" s="3" t="inlineStr">
        <is>
          <t>六</t>
        </is>
      </c>
      <c r="D1397" s="3" t="inlineStr">
        <is>
          <t>07:57 17:02</t>
        </is>
      </c>
      <c r="E1397" s="4" t="n">
        <v>0.33125</v>
      </c>
      <c r="F1397" s="4" t="n">
        <v>0.7097222222222223</v>
      </c>
      <c r="G1397" s="3">
        <f>IF($E1397="","空卡",IF($F1397="","单卡","正常"))</f>
        <v/>
      </c>
      <c r="H1397" s="5">
        <f>IF($G1397="正常",ROUND(($F1397-$E1397)*1440,0),"")</f>
        <v/>
      </c>
      <c r="I1397" s="6">
        <f>IF($G1397="正常",$H1397/60,"")</f>
        <v/>
      </c>
      <c r="J1397" s="7">
        <f>IF($G1397="正常",ROUND($H1397/30,0)/2,"")</f>
        <v/>
      </c>
      <c r="K1397" s="7">
        <f>IF($G1397="正常",MIN($J1397,12),"")</f>
        <v/>
      </c>
      <c r="L1397" s="7">
        <f>IF($G1397="正常",MAX($J1397-12,0),"")</f>
        <v/>
      </c>
    </row>
    <row r="1398">
      <c r="A1398" s="8" t="inlineStr">
        <is>
          <t>廖荣碧</t>
        </is>
      </c>
      <c r="B1398" s="8" t="inlineStr">
        <is>
          <t>8/2</t>
        </is>
      </c>
      <c r="C1398" s="8" t="inlineStr">
        <is>
          <t>日</t>
        </is>
      </c>
      <c r="D1398" s="8" t="inlineStr">
        <is>
          <t>14:59</t>
        </is>
      </c>
      <c r="E1398" s="9" t="n">
        <v>0.6243055555555556</v>
      </c>
      <c r="F1398" s="9" t="n"/>
      <c r="G1398" s="10">
        <f>IF($E1398="","空卡",IF($F1398="","单卡","正常"))</f>
        <v/>
      </c>
      <c r="H1398" s="11">
        <f>IF($G1398="正常",ROUND(($F1398-$E1398)*1440,0),"")</f>
        <v/>
      </c>
      <c r="I1398" s="12">
        <f>IF($G1398="正常",$H1398/60,"")</f>
        <v/>
      </c>
      <c r="J1398" s="13">
        <f>IF($G1398="正常",ROUND($H1398/30,0)/2,"")</f>
        <v/>
      </c>
      <c r="K1398" s="13">
        <f>IF($G1398="正常",MIN($J1398,12),"")</f>
        <v/>
      </c>
      <c r="L1398" s="13">
        <f>IF($G1398="正常",MAX($J1398-12,0),"")</f>
        <v/>
      </c>
    </row>
    <row r="1399">
      <c r="A1399" s="3" t="inlineStr">
        <is>
          <t>廖荣碧</t>
        </is>
      </c>
      <c r="B1399" s="3" t="inlineStr">
        <is>
          <t>8/3</t>
        </is>
      </c>
      <c r="C1399" s="3" t="inlineStr">
        <is>
          <t>一</t>
        </is>
      </c>
      <c r="D1399" s="3" t="inlineStr">
        <is>
          <t>08:21 15:36</t>
        </is>
      </c>
      <c r="E1399" s="4" t="n">
        <v>0.3479166666666667</v>
      </c>
      <c r="F1399" s="4" t="n">
        <v>0.65</v>
      </c>
      <c r="G1399" s="3">
        <f>IF($E1399="","空卡",IF($F1399="","单卡","正常"))</f>
        <v/>
      </c>
      <c r="H1399" s="5">
        <f>IF($G1399="正常",ROUND(($F1399-$E1399)*1440,0),"")</f>
        <v/>
      </c>
      <c r="I1399" s="6">
        <f>IF($G1399="正常",$H1399/60,"")</f>
        <v/>
      </c>
      <c r="J1399" s="7">
        <f>IF($G1399="正常",ROUND($H1399/30,0)/2,"")</f>
        <v/>
      </c>
      <c r="K1399" s="7">
        <f>IF($G1399="正常",MIN($J1399,12),"")</f>
        <v/>
      </c>
      <c r="L1399" s="7">
        <f>IF($G1399="正常",MAX($J1399-12,0),"")</f>
        <v/>
      </c>
    </row>
    <row r="1400">
      <c r="A1400" s="3" t="inlineStr">
        <is>
          <t>廖荣碧</t>
        </is>
      </c>
      <c r="B1400" s="3" t="inlineStr">
        <is>
          <t>8/4</t>
        </is>
      </c>
      <c r="C1400" s="3" t="inlineStr">
        <is>
          <t>二</t>
        </is>
      </c>
      <c r="D1400" s="3" t="inlineStr">
        <is>
          <t>08:49 20:35</t>
        </is>
      </c>
      <c r="E1400" s="4" t="n">
        <v>0.3673611111111111</v>
      </c>
      <c r="F1400" s="4" t="n">
        <v>0.8576388888888888</v>
      </c>
      <c r="G1400" s="3">
        <f>IF($E1400="","空卡",IF($F1400="","单卡","正常"))</f>
        <v/>
      </c>
      <c r="H1400" s="5">
        <f>IF($G1400="正常",ROUND(($F1400-$E1400)*1440,0),"")</f>
        <v/>
      </c>
      <c r="I1400" s="6">
        <f>IF($G1400="正常",$H1400/60,"")</f>
        <v/>
      </c>
      <c r="J1400" s="7">
        <f>IF($G1400="正常",ROUND($H1400/30,0)/2,"")</f>
        <v/>
      </c>
      <c r="K1400" s="7">
        <f>IF($G1400="正常",MIN($J1400,12),"")</f>
        <v/>
      </c>
      <c r="L1400" s="7">
        <f>IF($G1400="正常",MAX($J1400-12,0),"")</f>
        <v/>
      </c>
    </row>
    <row r="1401">
      <c r="A1401" s="3" t="inlineStr">
        <is>
          <t>廖荣碧</t>
        </is>
      </c>
      <c r="B1401" s="3" t="inlineStr">
        <is>
          <t>8/5</t>
        </is>
      </c>
      <c r="C1401" s="3" t="inlineStr">
        <is>
          <t>三</t>
        </is>
      </c>
      <c r="D1401" s="3" t="inlineStr">
        <is>
          <t>10:01 17:57</t>
        </is>
      </c>
      <c r="E1401" s="4" t="n">
        <v>0.4173611111111111</v>
      </c>
      <c r="F1401" s="4" t="n">
        <v>0.7479166666666667</v>
      </c>
      <c r="G1401" s="3">
        <f>IF($E1401="","空卡",IF($F1401="","单卡","正常"))</f>
        <v/>
      </c>
      <c r="H1401" s="5">
        <f>IF($G1401="正常",ROUND(($F1401-$E1401)*1440,0),"")</f>
        <v/>
      </c>
      <c r="I1401" s="6">
        <f>IF($G1401="正常",$H1401/60,"")</f>
        <v/>
      </c>
      <c r="J1401" s="7">
        <f>IF($G1401="正常",ROUND($H1401/30,0)/2,"")</f>
        <v/>
      </c>
      <c r="K1401" s="7">
        <f>IF($G1401="正常",MIN($J1401,12),"")</f>
        <v/>
      </c>
      <c r="L1401" s="7">
        <f>IF($G1401="正常",MAX($J1401-12,0),"")</f>
        <v/>
      </c>
    </row>
    <row r="1402">
      <c r="A1402" s="3" t="inlineStr">
        <is>
          <t>廖荣碧</t>
        </is>
      </c>
      <c r="B1402" s="3" t="inlineStr">
        <is>
          <t>8/6</t>
        </is>
      </c>
      <c r="C1402" s="3" t="inlineStr">
        <is>
          <t>四</t>
        </is>
      </c>
      <c r="D1402" s="3" t="inlineStr">
        <is>
          <t>08:54 19:00</t>
        </is>
      </c>
      <c r="E1402" s="4" t="n">
        <v>0.3708333333333333</v>
      </c>
      <c r="F1402" s="4" t="n">
        <v>0.7916666666666666</v>
      </c>
      <c r="G1402" s="3">
        <f>IF($E1402="","空卡",IF($F1402="","单卡","正常"))</f>
        <v/>
      </c>
      <c r="H1402" s="5">
        <f>IF($G1402="正常",ROUND(($F1402-$E1402)*1440,0),"")</f>
        <v/>
      </c>
      <c r="I1402" s="6">
        <f>IF($G1402="正常",$H1402/60,"")</f>
        <v/>
      </c>
      <c r="J1402" s="7">
        <f>IF($G1402="正常",ROUND($H1402/30,0)/2,"")</f>
        <v/>
      </c>
      <c r="K1402" s="7">
        <f>IF($G1402="正常",MIN($J1402,12),"")</f>
        <v/>
      </c>
      <c r="L1402" s="7">
        <f>IF($G1402="正常",MAX($J1402-12,0),"")</f>
        <v/>
      </c>
    </row>
    <row r="1403">
      <c r="A1403" s="3" t="inlineStr">
        <is>
          <t>廖荣碧</t>
        </is>
      </c>
      <c r="B1403" s="3" t="inlineStr">
        <is>
          <t>8/7</t>
        </is>
      </c>
      <c r="C1403" s="3" t="inlineStr">
        <is>
          <t>五</t>
        </is>
      </c>
      <c r="D1403" s="3" t="inlineStr">
        <is>
          <t>07:58 20:00</t>
        </is>
      </c>
      <c r="E1403" s="4" t="n">
        <v>0.3319444444444444</v>
      </c>
      <c r="F1403" s="4" t="n">
        <v>0.8333333333333334</v>
      </c>
      <c r="G1403" s="3">
        <f>IF($E1403="","空卡",IF($F1403="","单卡","正常"))</f>
        <v/>
      </c>
      <c r="H1403" s="5">
        <f>IF($G1403="正常",ROUND(($F1403-$E1403)*1440,0),"")</f>
        <v/>
      </c>
      <c r="I1403" s="6">
        <f>IF($G1403="正常",$H1403/60,"")</f>
        <v/>
      </c>
      <c r="J1403" s="7">
        <f>IF($G1403="正常",ROUND($H1403/30,0)/2,"")</f>
        <v/>
      </c>
      <c r="K1403" s="7">
        <f>IF($G1403="正常",MIN($J1403,12),"")</f>
        <v/>
      </c>
      <c r="L1403" s="7">
        <f>IF($G1403="正常",MAX($J1403-12,0),"")</f>
        <v/>
      </c>
    </row>
    <row r="1404">
      <c r="A1404" s="3" t="inlineStr">
        <is>
          <t>廖荣碧</t>
        </is>
      </c>
      <c r="B1404" s="3" t="inlineStr">
        <is>
          <t>8/8</t>
        </is>
      </c>
      <c r="C1404" s="3" t="inlineStr">
        <is>
          <t>六</t>
        </is>
      </c>
      <c r="D1404" s="3" t="inlineStr">
        <is>
          <t>08:20 19:39</t>
        </is>
      </c>
      <c r="E1404" s="4" t="n">
        <v>0.3472222222222222</v>
      </c>
      <c r="F1404" s="4" t="n">
        <v>0.81875</v>
      </c>
      <c r="G1404" s="3">
        <f>IF($E1404="","空卡",IF($F1404="","单卡","正常"))</f>
        <v/>
      </c>
      <c r="H1404" s="5">
        <f>IF($G1404="正常",ROUND(($F1404-$E1404)*1440,0),"")</f>
        <v/>
      </c>
      <c r="I1404" s="6">
        <f>IF($G1404="正常",$H1404/60,"")</f>
        <v/>
      </c>
      <c r="J1404" s="7">
        <f>IF($G1404="正常",ROUND($H1404/30,0)/2,"")</f>
        <v/>
      </c>
      <c r="K1404" s="7">
        <f>IF($G1404="正常",MIN($J1404,12),"")</f>
        <v/>
      </c>
      <c r="L1404" s="7">
        <f>IF($G1404="正常",MAX($J1404-12,0),"")</f>
        <v/>
      </c>
    </row>
    <row r="1405">
      <c r="A1405" s="3" t="inlineStr">
        <is>
          <t>廖荣碧</t>
        </is>
      </c>
      <c r="B1405" s="3" t="inlineStr">
        <is>
          <t>8/9</t>
        </is>
      </c>
      <c r="C1405" s="3" t="inlineStr">
        <is>
          <t>日</t>
        </is>
      </c>
      <c r="D1405" s="3" t="inlineStr">
        <is>
          <t>10:51 19:33</t>
        </is>
      </c>
      <c r="E1405" s="4" t="n">
        <v>0.4520833333333333</v>
      </c>
      <c r="F1405" s="4" t="n">
        <v>0.8145833333333333</v>
      </c>
      <c r="G1405" s="3">
        <f>IF($E1405="","空卡",IF($F1405="","单卡","正常"))</f>
        <v/>
      </c>
      <c r="H1405" s="5">
        <f>IF($G1405="正常",ROUND(($F1405-$E1405)*1440,0),"")</f>
        <v/>
      </c>
      <c r="I1405" s="6">
        <f>IF($G1405="正常",$H1405/60,"")</f>
        <v/>
      </c>
      <c r="J1405" s="7">
        <f>IF($G1405="正常",ROUND($H1405/30,0)/2,"")</f>
        <v/>
      </c>
      <c r="K1405" s="7">
        <f>IF($G1405="正常",MIN($J1405,12),"")</f>
        <v/>
      </c>
      <c r="L1405" s="7">
        <f>IF($G1405="正常",MAX($J1405-12,0),"")</f>
        <v/>
      </c>
    </row>
    <row r="1406">
      <c r="A1406" s="3" t="inlineStr">
        <is>
          <t>廖荣碧</t>
        </is>
      </c>
      <c r="B1406" s="3" t="inlineStr">
        <is>
          <t>8/10</t>
        </is>
      </c>
      <c r="C1406" s="3" t="inlineStr">
        <is>
          <t>一</t>
        </is>
      </c>
      <c r="D1406" s="3" t="inlineStr">
        <is>
          <t>08:20 20:03</t>
        </is>
      </c>
      <c r="E1406" s="4" t="n">
        <v>0.3472222222222222</v>
      </c>
      <c r="F1406" s="4" t="n">
        <v>0.8354166666666667</v>
      </c>
      <c r="G1406" s="3">
        <f>IF($E1406="","空卡",IF($F1406="","单卡","正常"))</f>
        <v/>
      </c>
      <c r="H1406" s="5">
        <f>IF($G1406="正常",ROUND(($F1406-$E1406)*1440,0),"")</f>
        <v/>
      </c>
      <c r="I1406" s="6">
        <f>IF($G1406="正常",$H1406/60,"")</f>
        <v/>
      </c>
      <c r="J1406" s="7">
        <f>IF($G1406="正常",ROUND($H1406/30,0)/2,"")</f>
        <v/>
      </c>
      <c r="K1406" s="7">
        <f>IF($G1406="正常",MIN($J1406,12),"")</f>
        <v/>
      </c>
      <c r="L1406" s="7">
        <f>IF($G1406="正常",MAX($J1406-12,0),"")</f>
        <v/>
      </c>
    </row>
    <row r="1407">
      <c r="A1407" s="3" t="inlineStr">
        <is>
          <t>廖荣碧</t>
        </is>
      </c>
      <c r="B1407" s="3" t="inlineStr">
        <is>
          <t>8/11</t>
        </is>
      </c>
      <c r="C1407" s="3" t="inlineStr">
        <is>
          <t>二</t>
        </is>
      </c>
      <c r="D1407" s="3" t="inlineStr">
        <is>
          <t>08:24 18:08</t>
        </is>
      </c>
      <c r="E1407" s="4" t="n">
        <v>0.35</v>
      </c>
      <c r="F1407" s="4" t="n">
        <v>0.7555555555555555</v>
      </c>
      <c r="G1407" s="3">
        <f>IF($E1407="","空卡",IF($F1407="","单卡","正常"))</f>
        <v/>
      </c>
      <c r="H1407" s="5">
        <f>IF($G1407="正常",ROUND(($F1407-$E1407)*1440,0),"")</f>
        <v/>
      </c>
      <c r="I1407" s="6">
        <f>IF($G1407="正常",$H1407/60,"")</f>
        <v/>
      </c>
      <c r="J1407" s="7">
        <f>IF($G1407="正常",ROUND($H1407/30,0)/2,"")</f>
        <v/>
      </c>
      <c r="K1407" s="7">
        <f>IF($G1407="正常",MIN($J1407,12),"")</f>
        <v/>
      </c>
      <c r="L1407" s="7">
        <f>IF($G1407="正常",MAX($J1407-12,0),"")</f>
        <v/>
      </c>
    </row>
    <row r="1408">
      <c r="A1408" s="3" t="inlineStr">
        <is>
          <t>廖荣碧</t>
        </is>
      </c>
      <c r="B1408" s="3" t="inlineStr">
        <is>
          <t>8/12</t>
        </is>
      </c>
      <c r="C1408" s="3" t="inlineStr">
        <is>
          <t>三</t>
        </is>
      </c>
      <c r="D1408" s="3" t="inlineStr">
        <is>
          <t>09:58 21:03</t>
        </is>
      </c>
      <c r="E1408" s="4" t="n">
        <v>0.4152777777777778</v>
      </c>
      <c r="F1408" s="4" t="n">
        <v>0.8770833333333333</v>
      </c>
      <c r="G1408" s="3">
        <f>IF($E1408="","空卡",IF($F1408="","单卡","正常"))</f>
        <v/>
      </c>
      <c r="H1408" s="5">
        <f>IF($G1408="正常",ROUND(($F1408-$E1408)*1440,0),"")</f>
        <v/>
      </c>
      <c r="I1408" s="6">
        <f>IF($G1408="正常",$H1408/60,"")</f>
        <v/>
      </c>
      <c r="J1408" s="7">
        <f>IF($G1408="正常",ROUND($H1408/30,0)/2,"")</f>
        <v/>
      </c>
      <c r="K1408" s="7">
        <f>IF($G1408="正常",MIN($J1408,12),"")</f>
        <v/>
      </c>
      <c r="L1408" s="7">
        <f>IF($G1408="正常",MAX($J1408-12,0),"")</f>
        <v/>
      </c>
    </row>
    <row r="1409">
      <c r="A1409" s="3" t="inlineStr">
        <is>
          <t>廖荣碧</t>
        </is>
      </c>
      <c r="B1409" s="3" t="inlineStr">
        <is>
          <t>8/13</t>
        </is>
      </c>
      <c r="C1409" s="3" t="inlineStr">
        <is>
          <t>四</t>
        </is>
      </c>
      <c r="D1409" s="3" t="inlineStr">
        <is>
          <t>09:52 19:49</t>
        </is>
      </c>
      <c r="E1409" s="4" t="n">
        <v>0.4111111111111111</v>
      </c>
      <c r="F1409" s="4" t="n">
        <v>0.8256944444444444</v>
      </c>
      <c r="G1409" s="3">
        <f>IF($E1409="","空卡",IF($F1409="","单卡","正常"))</f>
        <v/>
      </c>
      <c r="H1409" s="5">
        <f>IF($G1409="正常",ROUND(($F1409-$E1409)*1440,0),"")</f>
        <v/>
      </c>
      <c r="I1409" s="6">
        <f>IF($G1409="正常",$H1409/60,"")</f>
        <v/>
      </c>
      <c r="J1409" s="7">
        <f>IF($G1409="正常",ROUND($H1409/30,0)/2,"")</f>
        <v/>
      </c>
      <c r="K1409" s="7">
        <f>IF($G1409="正常",MIN($J1409,12),"")</f>
        <v/>
      </c>
      <c r="L1409" s="7">
        <f>IF($G1409="正常",MAX($J1409-12,0),"")</f>
        <v/>
      </c>
    </row>
    <row r="1410">
      <c r="A1410" s="3" t="inlineStr">
        <is>
          <t>廖荣碧</t>
        </is>
      </c>
      <c r="B1410" s="3" t="inlineStr">
        <is>
          <t>8/14</t>
        </is>
      </c>
      <c r="C1410" s="3" t="inlineStr">
        <is>
          <t>五</t>
        </is>
      </c>
      <c r="D1410" s="3" t="inlineStr">
        <is>
          <t>06:56 20:55</t>
        </is>
      </c>
      <c r="E1410" s="4" t="n">
        <v>0.2888888888888889</v>
      </c>
      <c r="F1410" s="4" t="n">
        <v>0.8715277777777778</v>
      </c>
      <c r="G1410" s="3">
        <f>IF($E1410="","空卡",IF($F1410="","单卡","正常"))</f>
        <v/>
      </c>
      <c r="H1410" s="5">
        <f>IF($G1410="正常",ROUND(($F1410-$E1410)*1440,0),"")</f>
        <v/>
      </c>
      <c r="I1410" s="6">
        <f>IF($G1410="正常",$H1410/60,"")</f>
        <v/>
      </c>
      <c r="J1410" s="7">
        <f>IF($G1410="正常",ROUND($H1410/30,0)/2,"")</f>
        <v/>
      </c>
      <c r="K1410" s="7">
        <f>IF($G1410="正常",MIN($J1410,12),"")</f>
        <v/>
      </c>
      <c r="L1410" s="7">
        <f>IF($G1410="正常",MAX($J1410-12,0),"")</f>
        <v/>
      </c>
    </row>
    <row r="1411">
      <c r="A1411" s="3" t="inlineStr">
        <is>
          <t>廖荣碧</t>
        </is>
      </c>
      <c r="B1411" s="3" t="inlineStr">
        <is>
          <t>8/15</t>
        </is>
      </c>
      <c r="C1411" s="3" t="inlineStr">
        <is>
          <t>六</t>
        </is>
      </c>
      <c r="D1411" s="3" t="inlineStr">
        <is>
          <t>06:58 19:16</t>
        </is>
      </c>
      <c r="E1411" s="4" t="n">
        <v>0.2902777777777778</v>
      </c>
      <c r="F1411" s="4" t="n">
        <v>0.8027777777777778</v>
      </c>
      <c r="G1411" s="3">
        <f>IF($E1411="","空卡",IF($F1411="","单卡","正常"))</f>
        <v/>
      </c>
      <c r="H1411" s="5">
        <f>IF($G1411="正常",ROUND(($F1411-$E1411)*1440,0),"")</f>
        <v/>
      </c>
      <c r="I1411" s="6">
        <f>IF($G1411="正常",$H1411/60,"")</f>
        <v/>
      </c>
      <c r="J1411" s="7">
        <f>IF($G1411="正常",ROUND($H1411/30,0)/2,"")</f>
        <v/>
      </c>
      <c r="K1411" s="7">
        <f>IF($G1411="正常",MIN($J1411,12),"")</f>
        <v/>
      </c>
      <c r="L1411" s="7">
        <f>IF($G1411="正常",MAX($J1411-12,0),"")</f>
        <v/>
      </c>
    </row>
    <row r="1412">
      <c r="A1412" s="3" t="inlineStr">
        <is>
          <t>廖荣碧</t>
        </is>
      </c>
      <c r="B1412" s="3" t="inlineStr">
        <is>
          <t>8/16</t>
        </is>
      </c>
      <c r="C1412" s="3" t="inlineStr">
        <is>
          <t>日</t>
        </is>
      </c>
      <c r="D1412" s="3" t="inlineStr">
        <is>
          <t>07:55 18:21</t>
        </is>
      </c>
      <c r="E1412" s="4" t="n">
        <v>0.3298611111111111</v>
      </c>
      <c r="F1412" s="4" t="n">
        <v>0.7645833333333333</v>
      </c>
      <c r="G1412" s="3">
        <f>IF($E1412="","空卡",IF($F1412="","单卡","正常"))</f>
        <v/>
      </c>
      <c r="H1412" s="5">
        <f>IF($G1412="正常",ROUND(($F1412-$E1412)*1440,0),"")</f>
        <v/>
      </c>
      <c r="I1412" s="6">
        <f>IF($G1412="正常",$H1412/60,"")</f>
        <v/>
      </c>
      <c r="J1412" s="7">
        <f>IF($G1412="正常",ROUND($H1412/30,0)/2,"")</f>
        <v/>
      </c>
      <c r="K1412" s="7">
        <f>IF($G1412="正常",MIN($J1412,12),"")</f>
        <v/>
      </c>
      <c r="L1412" s="7">
        <f>IF($G1412="正常",MAX($J1412-12,0),"")</f>
        <v/>
      </c>
    </row>
    <row r="1413">
      <c r="A1413" s="3" t="inlineStr">
        <is>
          <t>廖荣碧</t>
        </is>
      </c>
      <c r="B1413" s="3" t="inlineStr">
        <is>
          <t>8/17</t>
        </is>
      </c>
      <c r="C1413" s="3" t="inlineStr">
        <is>
          <t>一</t>
        </is>
      </c>
      <c r="D1413" s="3" t="inlineStr">
        <is>
          <t>07:56 19:58</t>
        </is>
      </c>
      <c r="E1413" s="4" t="n">
        <v>0.3305555555555555</v>
      </c>
      <c r="F1413" s="4" t="n">
        <v>0.8319444444444445</v>
      </c>
      <c r="G1413" s="3">
        <f>IF($E1413="","空卡",IF($F1413="","单卡","正常"))</f>
        <v/>
      </c>
      <c r="H1413" s="5">
        <f>IF($G1413="正常",ROUND(($F1413-$E1413)*1440,0),"")</f>
        <v/>
      </c>
      <c r="I1413" s="6">
        <f>IF($G1413="正常",$H1413/60,"")</f>
        <v/>
      </c>
      <c r="J1413" s="7">
        <f>IF($G1413="正常",ROUND($H1413/30,0)/2,"")</f>
        <v/>
      </c>
      <c r="K1413" s="7">
        <f>IF($G1413="正常",MIN($J1413,12),"")</f>
        <v/>
      </c>
      <c r="L1413" s="7">
        <f>IF($G1413="正常",MAX($J1413-12,0),"")</f>
        <v/>
      </c>
    </row>
    <row r="1414">
      <c r="A1414" s="3" t="inlineStr">
        <is>
          <t>廖荣碧</t>
        </is>
      </c>
      <c r="B1414" s="3" t="inlineStr">
        <is>
          <t>8/18</t>
        </is>
      </c>
      <c r="C1414" s="3" t="inlineStr">
        <is>
          <t>二</t>
        </is>
      </c>
      <c r="D1414" s="3" t="inlineStr">
        <is>
          <t>07:56 18:58</t>
        </is>
      </c>
      <c r="E1414" s="4" t="n">
        <v>0.3305555555555555</v>
      </c>
      <c r="F1414" s="4" t="n">
        <v>0.7902777777777777</v>
      </c>
      <c r="G1414" s="3">
        <f>IF($E1414="","空卡",IF($F1414="","单卡","正常"))</f>
        <v/>
      </c>
      <c r="H1414" s="5">
        <f>IF($G1414="正常",ROUND(($F1414-$E1414)*1440,0),"")</f>
        <v/>
      </c>
      <c r="I1414" s="6">
        <f>IF($G1414="正常",$H1414/60,"")</f>
        <v/>
      </c>
      <c r="J1414" s="7">
        <f>IF($G1414="正常",ROUND($H1414/30,0)/2,"")</f>
        <v/>
      </c>
      <c r="K1414" s="7">
        <f>IF($G1414="正常",MIN($J1414,12),"")</f>
        <v/>
      </c>
      <c r="L1414" s="7">
        <f>IF($G1414="正常",MAX($J1414-12,0),"")</f>
        <v/>
      </c>
    </row>
    <row r="1415">
      <c r="A1415" s="3" t="inlineStr">
        <is>
          <t>廖荣碧</t>
        </is>
      </c>
      <c r="B1415" s="3" t="inlineStr">
        <is>
          <t>8/19</t>
        </is>
      </c>
      <c r="C1415" s="3" t="inlineStr">
        <is>
          <t>三</t>
        </is>
      </c>
      <c r="D1415" s="3" t="inlineStr">
        <is>
          <t>08:53 20:31</t>
        </is>
      </c>
      <c r="E1415" s="4" t="n">
        <v>0.3701388888888889</v>
      </c>
      <c r="F1415" s="4" t="n">
        <v>0.8548611111111111</v>
      </c>
      <c r="G1415" s="3">
        <f>IF($E1415="","空卡",IF($F1415="","单卡","正常"))</f>
        <v/>
      </c>
      <c r="H1415" s="5">
        <f>IF($G1415="正常",ROUND(($F1415-$E1415)*1440,0),"")</f>
        <v/>
      </c>
      <c r="I1415" s="6">
        <f>IF($G1415="正常",$H1415/60,"")</f>
        <v/>
      </c>
      <c r="J1415" s="7">
        <f>IF($G1415="正常",ROUND($H1415/30,0)/2,"")</f>
        <v/>
      </c>
      <c r="K1415" s="7">
        <f>IF($G1415="正常",MIN($J1415,12),"")</f>
        <v/>
      </c>
      <c r="L1415" s="7">
        <f>IF($G1415="正常",MAX($J1415-12,0),"")</f>
        <v/>
      </c>
    </row>
    <row r="1416">
      <c r="A1416" s="3" t="inlineStr">
        <is>
          <t>廖荣碧</t>
        </is>
      </c>
      <c r="B1416" s="3" t="inlineStr">
        <is>
          <t>8/20</t>
        </is>
      </c>
      <c r="C1416" s="3" t="inlineStr">
        <is>
          <t>四</t>
        </is>
      </c>
      <c r="D1416" s="3" t="inlineStr">
        <is>
          <t>08:55 20:04</t>
        </is>
      </c>
      <c r="E1416" s="4" t="n">
        <v>0.3715277777777778</v>
      </c>
      <c r="F1416" s="4" t="n">
        <v>0.8361111111111111</v>
      </c>
      <c r="G1416" s="3">
        <f>IF($E1416="","空卡",IF($F1416="","单卡","正常"))</f>
        <v/>
      </c>
      <c r="H1416" s="5">
        <f>IF($G1416="正常",ROUND(($F1416-$E1416)*1440,0),"")</f>
        <v/>
      </c>
      <c r="I1416" s="6">
        <f>IF($G1416="正常",$H1416/60,"")</f>
        <v/>
      </c>
      <c r="J1416" s="7">
        <f>IF($G1416="正常",ROUND($H1416/30,0)/2,"")</f>
        <v/>
      </c>
      <c r="K1416" s="7">
        <f>IF($G1416="正常",MIN($J1416,12),"")</f>
        <v/>
      </c>
      <c r="L1416" s="7">
        <f>IF($G1416="正常",MAX($J1416-12,0),"")</f>
        <v/>
      </c>
    </row>
    <row r="1417">
      <c r="A1417" s="3" t="inlineStr">
        <is>
          <t>廖荣碧</t>
        </is>
      </c>
      <c r="B1417" s="3" t="inlineStr">
        <is>
          <t>8/21</t>
        </is>
      </c>
      <c r="C1417" s="3" t="inlineStr">
        <is>
          <t>五</t>
        </is>
      </c>
      <c r="D1417" s="3" t="inlineStr">
        <is>
          <t>06:57 19:03</t>
        </is>
      </c>
      <c r="E1417" s="4" t="n">
        <v>0.2895833333333334</v>
      </c>
      <c r="F1417" s="4" t="n">
        <v>0.79375</v>
      </c>
      <c r="G1417" s="3">
        <f>IF($E1417="","空卡",IF($F1417="","单卡","正常"))</f>
        <v/>
      </c>
      <c r="H1417" s="5">
        <f>IF($G1417="正常",ROUND(($F1417-$E1417)*1440,0),"")</f>
        <v/>
      </c>
      <c r="I1417" s="6">
        <f>IF($G1417="正常",$H1417/60,"")</f>
        <v/>
      </c>
      <c r="J1417" s="7">
        <f>IF($G1417="正常",ROUND($H1417/30,0)/2,"")</f>
        <v/>
      </c>
      <c r="K1417" s="7">
        <f>IF($G1417="正常",MIN($J1417,12),"")</f>
        <v/>
      </c>
      <c r="L1417" s="7">
        <f>IF($G1417="正常",MAX($J1417-12,0),"")</f>
        <v/>
      </c>
    </row>
    <row r="1418">
      <c r="A1418" s="3" t="inlineStr">
        <is>
          <t>廖荣碧</t>
        </is>
      </c>
      <c r="B1418" s="3" t="inlineStr">
        <is>
          <t>8/22</t>
        </is>
      </c>
      <c r="C1418" s="3" t="inlineStr">
        <is>
          <t>六</t>
        </is>
      </c>
      <c r="D1418" s="3" t="inlineStr">
        <is>
          <t>06:58 18:32</t>
        </is>
      </c>
      <c r="E1418" s="4" t="n">
        <v>0.2902777777777778</v>
      </c>
      <c r="F1418" s="4" t="n">
        <v>0.7722222222222223</v>
      </c>
      <c r="G1418" s="3">
        <f>IF($E1418="","空卡",IF($F1418="","单卡","正常"))</f>
        <v/>
      </c>
      <c r="H1418" s="5">
        <f>IF($G1418="正常",ROUND(($F1418-$E1418)*1440,0),"")</f>
        <v/>
      </c>
      <c r="I1418" s="6">
        <f>IF($G1418="正常",$H1418/60,"")</f>
        <v/>
      </c>
      <c r="J1418" s="7">
        <f>IF($G1418="正常",ROUND($H1418/30,0)/2,"")</f>
        <v/>
      </c>
      <c r="K1418" s="7">
        <f>IF($G1418="正常",MIN($J1418,12),"")</f>
        <v/>
      </c>
      <c r="L1418" s="7">
        <f>IF($G1418="正常",MAX($J1418-12,0),"")</f>
        <v/>
      </c>
    </row>
    <row r="1419">
      <c r="A1419" s="3" t="inlineStr">
        <is>
          <t>廖荣碧</t>
        </is>
      </c>
      <c r="B1419" s="3" t="inlineStr">
        <is>
          <t>8/23</t>
        </is>
      </c>
      <c r="C1419" s="3" t="inlineStr">
        <is>
          <t>日</t>
        </is>
      </c>
      <c r="D1419" s="3" t="inlineStr">
        <is>
          <t>06:56 18:00</t>
        </is>
      </c>
      <c r="E1419" s="4" t="n">
        <v>0.2888888888888889</v>
      </c>
      <c r="F1419" s="4" t="n">
        <v>0.75</v>
      </c>
      <c r="G1419" s="3">
        <f>IF($E1419="","空卡",IF($F1419="","单卡","正常"))</f>
        <v/>
      </c>
      <c r="H1419" s="5">
        <f>IF($G1419="正常",ROUND(($F1419-$E1419)*1440,0),"")</f>
        <v/>
      </c>
      <c r="I1419" s="6">
        <f>IF($G1419="正常",$H1419/60,"")</f>
        <v/>
      </c>
      <c r="J1419" s="7">
        <f>IF($G1419="正常",ROUND($H1419/30,0)/2,"")</f>
        <v/>
      </c>
      <c r="K1419" s="7">
        <f>IF($G1419="正常",MIN($J1419,12),"")</f>
        <v/>
      </c>
      <c r="L1419" s="7">
        <f>IF($G1419="正常",MAX($J1419-12,0),"")</f>
        <v/>
      </c>
    </row>
    <row r="1420">
      <c r="A1420" s="3" t="inlineStr">
        <is>
          <t>廖荣碧</t>
        </is>
      </c>
      <c r="B1420" s="3" t="inlineStr">
        <is>
          <t>8/24</t>
        </is>
      </c>
      <c r="C1420" s="3" t="inlineStr">
        <is>
          <t>一</t>
        </is>
      </c>
      <c r="D1420" s="3" t="inlineStr">
        <is>
          <t>07:01 16:44</t>
        </is>
      </c>
      <c r="E1420" s="4" t="n">
        <v>0.2923611111111111</v>
      </c>
      <c r="F1420" s="4" t="n">
        <v>0.6972222222222222</v>
      </c>
      <c r="G1420" s="3">
        <f>IF($E1420="","空卡",IF($F1420="","单卡","正常"))</f>
        <v/>
      </c>
      <c r="H1420" s="5">
        <f>IF($G1420="正常",ROUND(($F1420-$E1420)*1440,0),"")</f>
        <v/>
      </c>
      <c r="I1420" s="6">
        <f>IF($G1420="正常",$H1420/60,"")</f>
        <v/>
      </c>
      <c r="J1420" s="7">
        <f>IF($G1420="正常",ROUND($H1420/30,0)/2,"")</f>
        <v/>
      </c>
      <c r="K1420" s="7">
        <f>IF($G1420="正常",MIN($J1420,12),"")</f>
        <v/>
      </c>
      <c r="L1420" s="7">
        <f>IF($G1420="正常",MAX($J1420-12,0),"")</f>
        <v/>
      </c>
    </row>
    <row r="1421">
      <c r="A1421" s="3" t="inlineStr">
        <is>
          <t>廖荣碧</t>
        </is>
      </c>
      <c r="B1421" s="3" t="inlineStr">
        <is>
          <t>8/25</t>
        </is>
      </c>
      <c r="C1421" s="3" t="inlineStr">
        <is>
          <t>二</t>
        </is>
      </c>
      <c r="D1421" s="3" t="inlineStr">
        <is>
          <t>08:51 18:38</t>
        </is>
      </c>
      <c r="E1421" s="4" t="n">
        <v>0.36875</v>
      </c>
      <c r="F1421" s="4" t="n">
        <v>0.7763888888888889</v>
      </c>
      <c r="G1421" s="3">
        <f>IF($E1421="","空卡",IF($F1421="","单卡","正常"))</f>
        <v/>
      </c>
      <c r="H1421" s="5">
        <f>IF($G1421="正常",ROUND(($F1421-$E1421)*1440,0),"")</f>
        <v/>
      </c>
      <c r="I1421" s="6">
        <f>IF($G1421="正常",$H1421/60,"")</f>
        <v/>
      </c>
      <c r="J1421" s="7">
        <f>IF($G1421="正常",ROUND($H1421/30,0)/2,"")</f>
        <v/>
      </c>
      <c r="K1421" s="7">
        <f>IF($G1421="正常",MIN($J1421,12),"")</f>
        <v/>
      </c>
      <c r="L1421" s="7">
        <f>IF($G1421="正常",MAX($J1421-12,0),"")</f>
        <v/>
      </c>
    </row>
    <row r="1422">
      <c r="A1422" s="3" t="inlineStr">
        <is>
          <t>廖荣碧</t>
        </is>
      </c>
      <c r="B1422" s="3" t="inlineStr">
        <is>
          <t>8/26</t>
        </is>
      </c>
      <c r="C1422" s="3" t="inlineStr">
        <is>
          <t>三</t>
        </is>
      </c>
      <c r="D1422" s="3" t="inlineStr">
        <is>
          <t>07:52 18:58</t>
        </is>
      </c>
      <c r="E1422" s="4" t="n">
        <v>0.3277777777777778</v>
      </c>
      <c r="F1422" s="4" t="n">
        <v>0.7902777777777777</v>
      </c>
      <c r="G1422" s="3">
        <f>IF($E1422="","空卡",IF($F1422="","单卡","正常"))</f>
        <v/>
      </c>
      <c r="H1422" s="5">
        <f>IF($G1422="正常",ROUND(($F1422-$E1422)*1440,0),"")</f>
        <v/>
      </c>
      <c r="I1422" s="6">
        <f>IF($G1422="正常",$H1422/60,"")</f>
        <v/>
      </c>
      <c r="J1422" s="7">
        <f>IF($G1422="正常",ROUND($H1422/30,0)/2,"")</f>
        <v/>
      </c>
      <c r="K1422" s="7">
        <f>IF($G1422="正常",MIN($J1422,12),"")</f>
        <v/>
      </c>
      <c r="L1422" s="7">
        <f>IF($G1422="正常",MAX($J1422-12,0),"")</f>
        <v/>
      </c>
    </row>
    <row r="1423">
      <c r="A1423" s="3" t="inlineStr">
        <is>
          <t>廖荣碧</t>
        </is>
      </c>
      <c r="B1423" s="3" t="inlineStr">
        <is>
          <t>8/27</t>
        </is>
      </c>
      <c r="C1423" s="3" t="inlineStr">
        <is>
          <t>四</t>
        </is>
      </c>
      <c r="D1423" s="3" t="inlineStr">
        <is>
          <t>07:53 19:06</t>
        </is>
      </c>
      <c r="E1423" s="4" t="n">
        <v>0.3284722222222222</v>
      </c>
      <c r="F1423" s="4" t="n">
        <v>0.7958333333333333</v>
      </c>
      <c r="G1423" s="3">
        <f>IF($E1423="","空卡",IF($F1423="","单卡","正常"))</f>
        <v/>
      </c>
      <c r="H1423" s="5">
        <f>IF($G1423="正常",ROUND(($F1423-$E1423)*1440,0),"")</f>
        <v/>
      </c>
      <c r="I1423" s="6">
        <f>IF($G1423="正常",$H1423/60,"")</f>
        <v/>
      </c>
      <c r="J1423" s="7">
        <f>IF($G1423="正常",ROUND($H1423/30,0)/2,"")</f>
        <v/>
      </c>
      <c r="K1423" s="7">
        <f>IF($G1423="正常",MIN($J1423,12),"")</f>
        <v/>
      </c>
      <c r="L1423" s="7">
        <f>IF($G1423="正常",MAX($J1423-12,0),"")</f>
        <v/>
      </c>
    </row>
    <row r="1424">
      <c r="A1424" s="3" t="inlineStr">
        <is>
          <t>廖荣碧</t>
        </is>
      </c>
      <c r="B1424" s="3" t="inlineStr">
        <is>
          <t>8/28</t>
        </is>
      </c>
      <c r="C1424" s="3" t="inlineStr">
        <is>
          <t>五</t>
        </is>
      </c>
      <c r="D1424" s="3" t="inlineStr">
        <is>
          <t>07:56 18:34</t>
        </is>
      </c>
      <c r="E1424" s="4" t="n">
        <v>0.3305555555555555</v>
      </c>
      <c r="F1424" s="4" t="n">
        <v>0.7736111111111111</v>
      </c>
      <c r="G1424" s="3">
        <f>IF($E1424="","空卡",IF($F1424="","单卡","正常"))</f>
        <v/>
      </c>
      <c r="H1424" s="5">
        <f>IF($G1424="正常",ROUND(($F1424-$E1424)*1440,0),"")</f>
        <v/>
      </c>
      <c r="I1424" s="6">
        <f>IF($G1424="正常",$H1424/60,"")</f>
        <v/>
      </c>
      <c r="J1424" s="7">
        <f>IF($G1424="正常",ROUND($H1424/30,0)/2,"")</f>
        <v/>
      </c>
      <c r="K1424" s="7">
        <f>IF($G1424="正常",MIN($J1424,12),"")</f>
        <v/>
      </c>
      <c r="L1424" s="7">
        <f>IF($G1424="正常",MAX($J1424-12,0),"")</f>
        <v/>
      </c>
    </row>
    <row r="1425">
      <c r="A1425" s="3" t="inlineStr">
        <is>
          <t>廖荣碧</t>
        </is>
      </c>
      <c r="B1425" s="3" t="inlineStr">
        <is>
          <t>8/29</t>
        </is>
      </c>
      <c r="C1425" s="3" t="inlineStr">
        <is>
          <t>六</t>
        </is>
      </c>
      <c r="D1425" s="3" t="inlineStr">
        <is>
          <t>07:51 22:02</t>
        </is>
      </c>
      <c r="E1425" s="4" t="n">
        <v>0.3270833333333333</v>
      </c>
      <c r="F1425" s="4" t="n">
        <v>0.9180555555555555</v>
      </c>
      <c r="G1425" s="3">
        <f>IF($E1425="","空卡",IF($F1425="","单卡","正常"))</f>
        <v/>
      </c>
      <c r="H1425" s="5">
        <f>IF($G1425="正常",ROUND(($F1425-$E1425)*1440,0),"")</f>
        <v/>
      </c>
      <c r="I1425" s="6">
        <f>IF($G1425="正常",$H1425/60,"")</f>
        <v/>
      </c>
      <c r="J1425" s="7">
        <f>IF($G1425="正常",ROUND($H1425/30,0)/2,"")</f>
        <v/>
      </c>
      <c r="K1425" s="7">
        <f>IF($G1425="正常",MIN($J1425,12),"")</f>
        <v/>
      </c>
      <c r="L1425" s="7">
        <f>IF($G1425="正常",MAX($J1425-12,0),"")</f>
        <v/>
      </c>
    </row>
    <row r="1426">
      <c r="A1426" s="3" t="inlineStr">
        <is>
          <t>廖荣碧</t>
        </is>
      </c>
      <c r="B1426" s="3" t="inlineStr">
        <is>
          <t>8/30</t>
        </is>
      </c>
      <c r="C1426" s="3" t="inlineStr">
        <is>
          <t>日</t>
        </is>
      </c>
      <c r="D1426" s="3" t="inlineStr">
        <is>
          <t>07:50 18:59</t>
        </is>
      </c>
      <c r="E1426" s="4" t="n">
        <v>0.3263888888888889</v>
      </c>
      <c r="F1426" s="4" t="n">
        <v>0.7909722222222222</v>
      </c>
      <c r="G1426" s="3">
        <f>IF($E1426="","空卡",IF($F1426="","单卡","正常"))</f>
        <v/>
      </c>
      <c r="H1426" s="5">
        <f>IF($G1426="正常",ROUND(($F1426-$E1426)*1440,0),"")</f>
        <v/>
      </c>
      <c r="I1426" s="6">
        <f>IF($G1426="正常",$H1426/60,"")</f>
        <v/>
      </c>
      <c r="J1426" s="7">
        <f>IF($G1426="正常",ROUND($H1426/30,0)/2,"")</f>
        <v/>
      </c>
      <c r="K1426" s="7">
        <f>IF($G1426="正常",MIN($J1426,12),"")</f>
        <v/>
      </c>
      <c r="L1426" s="7">
        <f>IF($G1426="正常",MAX($J1426-12,0),"")</f>
        <v/>
      </c>
    </row>
    <row r="1427">
      <c r="A1427" s="8" t="inlineStr">
        <is>
          <t>廖荣碧</t>
        </is>
      </c>
      <c r="B1427" s="8" t="inlineStr">
        <is>
          <t>8/31</t>
        </is>
      </c>
      <c r="C1427" s="8" t="inlineStr">
        <is>
          <t>一</t>
        </is>
      </c>
      <c r="D1427" s="8" t="inlineStr"/>
      <c r="E1427" s="9" t="n"/>
      <c r="F1427" s="9" t="n"/>
      <c r="G1427" s="10">
        <f>IF($E1427="","空卡",IF($F1427="","单卡","正常"))</f>
        <v/>
      </c>
      <c r="H1427" s="11">
        <f>IF($G1427="正常",ROUND(($F1427-$E1427)*1440,0),"")</f>
        <v/>
      </c>
      <c r="I1427" s="12">
        <f>IF($G1427="正常",$H1427/60,"")</f>
        <v/>
      </c>
      <c r="J1427" s="13">
        <f>IF($G1427="正常",ROUND($H1427/30,0)/2,"")</f>
        <v/>
      </c>
      <c r="K1427" s="13">
        <f>IF($G1427="正常",MIN($J1427,12),"")</f>
        <v/>
      </c>
      <c r="L1427" s="13">
        <f>IF($G1427="正常",MAX($J1427-12,0),"")</f>
        <v/>
      </c>
    </row>
    <row r="1428">
      <c r="A1428" s="3" t="inlineStr">
        <is>
          <t>王才周</t>
        </is>
      </c>
      <c r="B1428" s="3" t="inlineStr">
        <is>
          <t>8/1</t>
        </is>
      </c>
      <c r="C1428" s="3" t="inlineStr">
        <is>
          <t>六</t>
        </is>
      </c>
      <c r="D1428" s="3" t="inlineStr">
        <is>
          <t>07:56 17:03</t>
        </is>
      </c>
      <c r="E1428" s="4" t="n">
        <v>0.3305555555555555</v>
      </c>
      <c r="F1428" s="4" t="n">
        <v>0.7104166666666667</v>
      </c>
      <c r="G1428" s="3">
        <f>IF($E1428="","空卡",IF($F1428="","单卡","正常"))</f>
        <v/>
      </c>
      <c r="H1428" s="5">
        <f>IF($G1428="正常",ROUND(($F1428-$E1428)*1440,0),"")</f>
        <v/>
      </c>
      <c r="I1428" s="6">
        <f>IF($G1428="正常",$H1428/60,"")</f>
        <v/>
      </c>
      <c r="J1428" s="7">
        <f>IF($G1428="正常",ROUND($H1428/30,0)/2,"")</f>
        <v/>
      </c>
      <c r="K1428" s="7">
        <f>IF($G1428="正常",MIN($J1428,12),"")</f>
        <v/>
      </c>
      <c r="L1428" s="7">
        <f>IF($G1428="正常",MAX($J1428-12,0),"")</f>
        <v/>
      </c>
    </row>
    <row r="1429">
      <c r="A1429" s="3" t="inlineStr">
        <is>
          <t>王才周</t>
        </is>
      </c>
      <c r="B1429" s="3" t="inlineStr">
        <is>
          <t>8/2</t>
        </is>
      </c>
      <c r="C1429" s="3" t="inlineStr">
        <is>
          <t>日</t>
        </is>
      </c>
      <c r="D1429" s="3" t="inlineStr">
        <is>
          <t>07:48 14:59</t>
        </is>
      </c>
      <c r="E1429" s="4" t="n">
        <v>0.325</v>
      </c>
      <c r="F1429" s="4" t="n">
        <v>0.6243055555555556</v>
      </c>
      <c r="G1429" s="3">
        <f>IF($E1429="","空卡",IF($F1429="","单卡","正常"))</f>
        <v/>
      </c>
      <c r="H1429" s="5">
        <f>IF($G1429="正常",ROUND(($F1429-$E1429)*1440,0),"")</f>
        <v/>
      </c>
      <c r="I1429" s="6">
        <f>IF($G1429="正常",$H1429/60,"")</f>
        <v/>
      </c>
      <c r="J1429" s="7">
        <f>IF($G1429="正常",ROUND($H1429/30,0)/2,"")</f>
        <v/>
      </c>
      <c r="K1429" s="7">
        <f>IF($G1429="正常",MIN($J1429,12),"")</f>
        <v/>
      </c>
      <c r="L1429" s="7">
        <f>IF($G1429="正常",MAX($J1429-12,0),"")</f>
        <v/>
      </c>
    </row>
    <row r="1430">
      <c r="A1430" s="3" t="inlineStr">
        <is>
          <t>王才周</t>
        </is>
      </c>
      <c r="B1430" s="3" t="inlineStr">
        <is>
          <t>8/3</t>
        </is>
      </c>
      <c r="C1430" s="3" t="inlineStr">
        <is>
          <t>一</t>
        </is>
      </c>
      <c r="D1430" s="3" t="inlineStr">
        <is>
          <t>08:22 15:31</t>
        </is>
      </c>
      <c r="E1430" s="4" t="n">
        <v>0.3486111111111111</v>
      </c>
      <c r="F1430" s="4" t="n">
        <v>0.6465277777777778</v>
      </c>
      <c r="G1430" s="3">
        <f>IF($E1430="","空卡",IF($F1430="","单卡","正常"))</f>
        <v/>
      </c>
      <c r="H1430" s="5">
        <f>IF($G1430="正常",ROUND(($F1430-$E1430)*1440,0),"")</f>
        <v/>
      </c>
      <c r="I1430" s="6">
        <f>IF($G1430="正常",$H1430/60,"")</f>
        <v/>
      </c>
      <c r="J1430" s="7">
        <f>IF($G1430="正常",ROUND($H1430/30,0)/2,"")</f>
        <v/>
      </c>
      <c r="K1430" s="7">
        <f>IF($G1430="正常",MIN($J1430,12),"")</f>
        <v/>
      </c>
      <c r="L1430" s="7">
        <f>IF($G1430="正常",MAX($J1430-12,0),"")</f>
        <v/>
      </c>
    </row>
    <row r="1431">
      <c r="A1431" s="3" t="inlineStr">
        <is>
          <t>王才周</t>
        </is>
      </c>
      <c r="B1431" s="3" t="inlineStr">
        <is>
          <t>8/4</t>
        </is>
      </c>
      <c r="C1431" s="3" t="inlineStr">
        <is>
          <t>二</t>
        </is>
      </c>
      <c r="D1431" s="3" t="inlineStr">
        <is>
          <t>08:50 20:36</t>
        </is>
      </c>
      <c r="E1431" s="4" t="n">
        <v>0.3680555555555556</v>
      </c>
      <c r="F1431" s="4" t="n">
        <v>0.8583333333333333</v>
      </c>
      <c r="G1431" s="3">
        <f>IF($E1431="","空卡",IF($F1431="","单卡","正常"))</f>
        <v/>
      </c>
      <c r="H1431" s="5">
        <f>IF($G1431="正常",ROUND(($F1431-$E1431)*1440,0),"")</f>
        <v/>
      </c>
      <c r="I1431" s="6">
        <f>IF($G1431="正常",$H1431/60,"")</f>
        <v/>
      </c>
      <c r="J1431" s="7">
        <f>IF($G1431="正常",ROUND($H1431/30,0)/2,"")</f>
        <v/>
      </c>
      <c r="K1431" s="7">
        <f>IF($G1431="正常",MIN($J1431,12),"")</f>
        <v/>
      </c>
      <c r="L1431" s="7">
        <f>IF($G1431="正常",MAX($J1431-12,0),"")</f>
        <v/>
      </c>
    </row>
    <row r="1432">
      <c r="A1432" s="3" t="inlineStr">
        <is>
          <t>王才周</t>
        </is>
      </c>
      <c r="B1432" s="3" t="inlineStr">
        <is>
          <t>8/5</t>
        </is>
      </c>
      <c r="C1432" s="3" t="inlineStr">
        <is>
          <t>三</t>
        </is>
      </c>
      <c r="D1432" s="3" t="inlineStr">
        <is>
          <t>10:01 17:58</t>
        </is>
      </c>
      <c r="E1432" s="4" t="n">
        <v>0.4173611111111111</v>
      </c>
      <c r="F1432" s="4" t="n">
        <v>0.7486111111111111</v>
      </c>
      <c r="G1432" s="3">
        <f>IF($E1432="","空卡",IF($F1432="","单卡","正常"))</f>
        <v/>
      </c>
      <c r="H1432" s="5">
        <f>IF($G1432="正常",ROUND(($F1432-$E1432)*1440,0),"")</f>
        <v/>
      </c>
      <c r="I1432" s="6">
        <f>IF($G1432="正常",$H1432/60,"")</f>
        <v/>
      </c>
      <c r="J1432" s="7">
        <f>IF($G1432="正常",ROUND($H1432/30,0)/2,"")</f>
        <v/>
      </c>
      <c r="K1432" s="7">
        <f>IF($G1432="正常",MIN($J1432,12),"")</f>
        <v/>
      </c>
      <c r="L1432" s="7">
        <f>IF($G1432="正常",MAX($J1432-12,0),"")</f>
        <v/>
      </c>
    </row>
    <row r="1433">
      <c r="A1433" s="3" t="inlineStr">
        <is>
          <t>王才周</t>
        </is>
      </c>
      <c r="B1433" s="3" t="inlineStr">
        <is>
          <t>8/6</t>
        </is>
      </c>
      <c r="C1433" s="3" t="inlineStr">
        <is>
          <t>四</t>
        </is>
      </c>
      <c r="D1433" s="3" t="inlineStr">
        <is>
          <t>08:55 19:00</t>
        </is>
      </c>
      <c r="E1433" s="4" t="n">
        <v>0.3715277777777778</v>
      </c>
      <c r="F1433" s="4" t="n">
        <v>0.7916666666666666</v>
      </c>
      <c r="G1433" s="3">
        <f>IF($E1433="","空卡",IF($F1433="","单卡","正常"))</f>
        <v/>
      </c>
      <c r="H1433" s="5">
        <f>IF($G1433="正常",ROUND(($F1433-$E1433)*1440,0),"")</f>
        <v/>
      </c>
      <c r="I1433" s="6">
        <f>IF($G1433="正常",$H1433/60,"")</f>
        <v/>
      </c>
      <c r="J1433" s="7">
        <f>IF($G1433="正常",ROUND($H1433/30,0)/2,"")</f>
        <v/>
      </c>
      <c r="K1433" s="7">
        <f>IF($G1433="正常",MIN($J1433,12),"")</f>
        <v/>
      </c>
      <c r="L1433" s="7">
        <f>IF($G1433="正常",MAX($J1433-12,0),"")</f>
        <v/>
      </c>
    </row>
    <row r="1434">
      <c r="A1434" s="3" t="inlineStr">
        <is>
          <t>王才周</t>
        </is>
      </c>
      <c r="B1434" s="3" t="inlineStr">
        <is>
          <t>8/7</t>
        </is>
      </c>
      <c r="C1434" s="3" t="inlineStr">
        <is>
          <t>五</t>
        </is>
      </c>
      <c r="D1434" s="3" t="inlineStr">
        <is>
          <t>07:58 20:00</t>
        </is>
      </c>
      <c r="E1434" s="4" t="n">
        <v>0.3319444444444444</v>
      </c>
      <c r="F1434" s="4" t="n">
        <v>0.8333333333333334</v>
      </c>
      <c r="G1434" s="3">
        <f>IF($E1434="","空卡",IF($F1434="","单卡","正常"))</f>
        <v/>
      </c>
      <c r="H1434" s="5">
        <f>IF($G1434="正常",ROUND(($F1434-$E1434)*1440,0),"")</f>
        <v/>
      </c>
      <c r="I1434" s="6">
        <f>IF($G1434="正常",$H1434/60,"")</f>
        <v/>
      </c>
      <c r="J1434" s="7">
        <f>IF($G1434="正常",ROUND($H1434/30,0)/2,"")</f>
        <v/>
      </c>
      <c r="K1434" s="7">
        <f>IF($G1434="正常",MIN($J1434,12),"")</f>
        <v/>
      </c>
      <c r="L1434" s="7">
        <f>IF($G1434="正常",MAX($J1434-12,0),"")</f>
        <v/>
      </c>
    </row>
    <row r="1435">
      <c r="A1435" s="3" t="inlineStr">
        <is>
          <t>王才周</t>
        </is>
      </c>
      <c r="B1435" s="3" t="inlineStr">
        <is>
          <t>8/8</t>
        </is>
      </c>
      <c r="C1435" s="3" t="inlineStr">
        <is>
          <t>六</t>
        </is>
      </c>
      <c r="D1435" s="3" t="inlineStr">
        <is>
          <t>08:20 19:38</t>
        </is>
      </c>
      <c r="E1435" s="4" t="n">
        <v>0.3472222222222222</v>
      </c>
      <c r="F1435" s="4" t="n">
        <v>0.8180555555555555</v>
      </c>
      <c r="G1435" s="3">
        <f>IF($E1435="","空卡",IF($F1435="","单卡","正常"))</f>
        <v/>
      </c>
      <c r="H1435" s="5">
        <f>IF($G1435="正常",ROUND(($F1435-$E1435)*1440,0),"")</f>
        <v/>
      </c>
      <c r="I1435" s="6">
        <f>IF($G1435="正常",$H1435/60,"")</f>
        <v/>
      </c>
      <c r="J1435" s="7">
        <f>IF($G1435="正常",ROUND($H1435/30,0)/2,"")</f>
        <v/>
      </c>
      <c r="K1435" s="7">
        <f>IF($G1435="正常",MIN($J1435,12),"")</f>
        <v/>
      </c>
      <c r="L1435" s="7">
        <f>IF($G1435="正常",MAX($J1435-12,0),"")</f>
        <v/>
      </c>
    </row>
    <row r="1436">
      <c r="A1436" s="3" t="inlineStr">
        <is>
          <t>王才周</t>
        </is>
      </c>
      <c r="B1436" s="3" t="inlineStr">
        <is>
          <t>8/9</t>
        </is>
      </c>
      <c r="C1436" s="3" t="inlineStr">
        <is>
          <t>日</t>
        </is>
      </c>
      <c r="D1436" s="3" t="inlineStr">
        <is>
          <t>10:52 19:34</t>
        </is>
      </c>
      <c r="E1436" s="4" t="n">
        <v>0.4527777777777778</v>
      </c>
      <c r="F1436" s="4" t="n">
        <v>0.8152777777777778</v>
      </c>
      <c r="G1436" s="3">
        <f>IF($E1436="","空卡",IF($F1436="","单卡","正常"))</f>
        <v/>
      </c>
      <c r="H1436" s="5">
        <f>IF($G1436="正常",ROUND(($F1436-$E1436)*1440,0),"")</f>
        <v/>
      </c>
      <c r="I1436" s="6">
        <f>IF($G1436="正常",$H1436/60,"")</f>
        <v/>
      </c>
      <c r="J1436" s="7">
        <f>IF($G1436="正常",ROUND($H1436/30,0)/2,"")</f>
        <v/>
      </c>
      <c r="K1436" s="7">
        <f>IF($G1436="正常",MIN($J1436,12),"")</f>
        <v/>
      </c>
      <c r="L1436" s="7">
        <f>IF($G1436="正常",MAX($J1436-12,0),"")</f>
        <v/>
      </c>
    </row>
    <row r="1437">
      <c r="A1437" s="3" t="inlineStr">
        <is>
          <t>王才周</t>
        </is>
      </c>
      <c r="B1437" s="3" t="inlineStr">
        <is>
          <t>8/10</t>
        </is>
      </c>
      <c r="C1437" s="3" t="inlineStr">
        <is>
          <t>一</t>
        </is>
      </c>
      <c r="D1437" s="3" t="inlineStr">
        <is>
          <t>08:20 19:57</t>
        </is>
      </c>
      <c r="E1437" s="4" t="n">
        <v>0.3472222222222222</v>
      </c>
      <c r="F1437" s="4" t="n">
        <v>0.83125</v>
      </c>
      <c r="G1437" s="3">
        <f>IF($E1437="","空卡",IF($F1437="","单卡","正常"))</f>
        <v/>
      </c>
      <c r="H1437" s="5">
        <f>IF($G1437="正常",ROUND(($F1437-$E1437)*1440,0),"")</f>
        <v/>
      </c>
      <c r="I1437" s="6">
        <f>IF($G1437="正常",$H1437/60,"")</f>
        <v/>
      </c>
      <c r="J1437" s="7">
        <f>IF($G1437="正常",ROUND($H1437/30,0)/2,"")</f>
        <v/>
      </c>
      <c r="K1437" s="7">
        <f>IF($G1437="正常",MIN($J1437,12),"")</f>
        <v/>
      </c>
      <c r="L1437" s="7">
        <f>IF($G1437="正常",MAX($J1437-12,0),"")</f>
        <v/>
      </c>
    </row>
    <row r="1438">
      <c r="A1438" s="3" t="inlineStr">
        <is>
          <t>王才周</t>
        </is>
      </c>
      <c r="B1438" s="3" t="inlineStr">
        <is>
          <t>8/11</t>
        </is>
      </c>
      <c r="C1438" s="3" t="inlineStr">
        <is>
          <t>二</t>
        </is>
      </c>
      <c r="D1438" s="3" t="inlineStr">
        <is>
          <t>08:24 18:36</t>
        </is>
      </c>
      <c r="E1438" s="4" t="n">
        <v>0.35</v>
      </c>
      <c r="F1438" s="4" t="n">
        <v>0.775</v>
      </c>
      <c r="G1438" s="3">
        <f>IF($E1438="","空卡",IF($F1438="","单卡","正常"))</f>
        <v/>
      </c>
      <c r="H1438" s="5">
        <f>IF($G1438="正常",ROUND(($F1438-$E1438)*1440,0),"")</f>
        <v/>
      </c>
      <c r="I1438" s="6">
        <f>IF($G1438="正常",$H1438/60,"")</f>
        <v/>
      </c>
      <c r="J1438" s="7">
        <f>IF($G1438="正常",ROUND($H1438/30,0)/2,"")</f>
        <v/>
      </c>
      <c r="K1438" s="7">
        <f>IF($G1438="正常",MIN($J1438,12),"")</f>
        <v/>
      </c>
      <c r="L1438" s="7">
        <f>IF($G1438="正常",MAX($J1438-12,0),"")</f>
        <v/>
      </c>
    </row>
    <row r="1439">
      <c r="A1439" s="3" t="inlineStr">
        <is>
          <t>王才周</t>
        </is>
      </c>
      <c r="B1439" s="3" t="inlineStr">
        <is>
          <t>8/12</t>
        </is>
      </c>
      <c r="C1439" s="3" t="inlineStr">
        <is>
          <t>三</t>
        </is>
      </c>
      <c r="D1439" s="3" t="inlineStr">
        <is>
          <t>09:41 21:05</t>
        </is>
      </c>
      <c r="E1439" s="4" t="n">
        <v>0.4034722222222222</v>
      </c>
      <c r="F1439" s="4" t="n">
        <v>0.8784722222222222</v>
      </c>
      <c r="G1439" s="3">
        <f>IF($E1439="","空卡",IF($F1439="","单卡","正常"))</f>
        <v/>
      </c>
      <c r="H1439" s="5">
        <f>IF($G1439="正常",ROUND(($F1439-$E1439)*1440,0),"")</f>
        <v/>
      </c>
      <c r="I1439" s="6">
        <f>IF($G1439="正常",$H1439/60,"")</f>
        <v/>
      </c>
      <c r="J1439" s="7">
        <f>IF($G1439="正常",ROUND($H1439/30,0)/2,"")</f>
        <v/>
      </c>
      <c r="K1439" s="7">
        <f>IF($G1439="正常",MIN($J1439,12),"")</f>
        <v/>
      </c>
      <c r="L1439" s="7">
        <f>IF($G1439="正常",MAX($J1439-12,0),"")</f>
        <v/>
      </c>
    </row>
    <row r="1440">
      <c r="A1440" s="3" t="inlineStr">
        <is>
          <t>王才周</t>
        </is>
      </c>
      <c r="B1440" s="3" t="inlineStr">
        <is>
          <t>8/13</t>
        </is>
      </c>
      <c r="C1440" s="3" t="inlineStr">
        <is>
          <t>四</t>
        </is>
      </c>
      <c r="D1440" s="3" t="inlineStr">
        <is>
          <t>09:53 09:54 19:40</t>
        </is>
      </c>
      <c r="E1440" s="4" t="n">
        <v>0.4118055555555555</v>
      </c>
      <c r="F1440" s="4" t="n">
        <v>0.8194444444444444</v>
      </c>
      <c r="G1440" s="3">
        <f>IF($E1440="","空卡",IF($F1440="","单卡","正常"))</f>
        <v/>
      </c>
      <c r="H1440" s="5">
        <f>IF($G1440="正常",ROUND(($F1440-$E1440)*1440,0),"")</f>
        <v/>
      </c>
      <c r="I1440" s="6">
        <f>IF($G1440="正常",$H1440/60,"")</f>
        <v/>
      </c>
      <c r="J1440" s="7">
        <f>IF($G1440="正常",ROUND($H1440/30,0)/2,"")</f>
        <v/>
      </c>
      <c r="K1440" s="7">
        <f>IF($G1440="正常",MIN($J1440,12),"")</f>
        <v/>
      </c>
      <c r="L1440" s="7">
        <f>IF($G1440="正常",MAX($J1440-12,0),"")</f>
        <v/>
      </c>
    </row>
    <row r="1441">
      <c r="A1441" s="3" t="inlineStr">
        <is>
          <t>王才周</t>
        </is>
      </c>
      <c r="B1441" s="3" t="inlineStr">
        <is>
          <t>8/14</t>
        </is>
      </c>
      <c r="C1441" s="3" t="inlineStr">
        <is>
          <t>五</t>
        </is>
      </c>
      <c r="D1441" s="3" t="inlineStr">
        <is>
          <t>06:55 20:54</t>
        </is>
      </c>
      <c r="E1441" s="4" t="n">
        <v>0.2881944444444444</v>
      </c>
      <c r="F1441" s="4" t="n">
        <v>0.8708333333333333</v>
      </c>
      <c r="G1441" s="3">
        <f>IF($E1441="","空卡",IF($F1441="","单卡","正常"))</f>
        <v/>
      </c>
      <c r="H1441" s="5">
        <f>IF($G1441="正常",ROUND(($F1441-$E1441)*1440,0),"")</f>
        <v/>
      </c>
      <c r="I1441" s="6">
        <f>IF($G1441="正常",$H1441/60,"")</f>
        <v/>
      </c>
      <c r="J1441" s="7">
        <f>IF($G1441="正常",ROUND($H1441/30,0)/2,"")</f>
        <v/>
      </c>
      <c r="K1441" s="7">
        <f>IF($G1441="正常",MIN($J1441,12),"")</f>
        <v/>
      </c>
      <c r="L1441" s="7">
        <f>IF($G1441="正常",MAX($J1441-12,0),"")</f>
        <v/>
      </c>
    </row>
    <row r="1442">
      <c r="A1442" s="3" t="inlineStr">
        <is>
          <t>王才周</t>
        </is>
      </c>
      <c r="B1442" s="3" t="inlineStr">
        <is>
          <t>8/15</t>
        </is>
      </c>
      <c r="C1442" s="3" t="inlineStr">
        <is>
          <t>六</t>
        </is>
      </c>
      <c r="D1442" s="3" t="inlineStr">
        <is>
          <t>06:58 19:16</t>
        </is>
      </c>
      <c r="E1442" s="4" t="n">
        <v>0.2902777777777778</v>
      </c>
      <c r="F1442" s="4" t="n">
        <v>0.8027777777777778</v>
      </c>
      <c r="G1442" s="3">
        <f>IF($E1442="","空卡",IF($F1442="","单卡","正常"))</f>
        <v/>
      </c>
      <c r="H1442" s="5">
        <f>IF($G1442="正常",ROUND(($F1442-$E1442)*1440,0),"")</f>
        <v/>
      </c>
      <c r="I1442" s="6">
        <f>IF($G1442="正常",$H1442/60,"")</f>
        <v/>
      </c>
      <c r="J1442" s="7">
        <f>IF($G1442="正常",ROUND($H1442/30,0)/2,"")</f>
        <v/>
      </c>
      <c r="K1442" s="7">
        <f>IF($G1442="正常",MIN($J1442,12),"")</f>
        <v/>
      </c>
      <c r="L1442" s="7">
        <f>IF($G1442="正常",MAX($J1442-12,0),"")</f>
        <v/>
      </c>
    </row>
    <row r="1443">
      <c r="A1443" s="3" t="inlineStr">
        <is>
          <t>王才周</t>
        </is>
      </c>
      <c r="B1443" s="3" t="inlineStr">
        <is>
          <t>8/16</t>
        </is>
      </c>
      <c r="C1443" s="3" t="inlineStr">
        <is>
          <t>日</t>
        </is>
      </c>
      <c r="D1443" s="3" t="inlineStr">
        <is>
          <t>07:56 18:19</t>
        </is>
      </c>
      <c r="E1443" s="4" t="n">
        <v>0.3305555555555555</v>
      </c>
      <c r="F1443" s="4" t="n">
        <v>0.7631944444444444</v>
      </c>
      <c r="G1443" s="3">
        <f>IF($E1443="","空卡",IF($F1443="","单卡","正常"))</f>
        <v/>
      </c>
      <c r="H1443" s="5">
        <f>IF($G1443="正常",ROUND(($F1443-$E1443)*1440,0),"")</f>
        <v/>
      </c>
      <c r="I1443" s="6">
        <f>IF($G1443="正常",$H1443/60,"")</f>
        <v/>
      </c>
      <c r="J1443" s="7">
        <f>IF($G1443="正常",ROUND($H1443/30,0)/2,"")</f>
        <v/>
      </c>
      <c r="K1443" s="7">
        <f>IF($G1443="正常",MIN($J1443,12),"")</f>
        <v/>
      </c>
      <c r="L1443" s="7">
        <f>IF($G1443="正常",MAX($J1443-12,0),"")</f>
        <v/>
      </c>
    </row>
    <row r="1444">
      <c r="A1444" s="3" t="inlineStr">
        <is>
          <t>王才周</t>
        </is>
      </c>
      <c r="B1444" s="3" t="inlineStr">
        <is>
          <t>8/17</t>
        </is>
      </c>
      <c r="C1444" s="3" t="inlineStr">
        <is>
          <t>一</t>
        </is>
      </c>
      <c r="D1444" s="3" t="inlineStr">
        <is>
          <t>07:56 19:59</t>
        </is>
      </c>
      <c r="E1444" s="4" t="n">
        <v>0.3305555555555555</v>
      </c>
      <c r="F1444" s="4" t="n">
        <v>0.8326388888888889</v>
      </c>
      <c r="G1444" s="3">
        <f>IF($E1444="","空卡",IF($F1444="","单卡","正常"))</f>
        <v/>
      </c>
      <c r="H1444" s="5">
        <f>IF($G1444="正常",ROUND(($F1444-$E1444)*1440,0),"")</f>
        <v/>
      </c>
      <c r="I1444" s="6">
        <f>IF($G1444="正常",$H1444/60,"")</f>
        <v/>
      </c>
      <c r="J1444" s="7">
        <f>IF($G1444="正常",ROUND($H1444/30,0)/2,"")</f>
        <v/>
      </c>
      <c r="K1444" s="7">
        <f>IF($G1444="正常",MIN($J1444,12),"")</f>
        <v/>
      </c>
      <c r="L1444" s="7">
        <f>IF($G1444="正常",MAX($J1444-12,0),"")</f>
        <v/>
      </c>
    </row>
    <row r="1445">
      <c r="A1445" s="3" t="inlineStr">
        <is>
          <t>王才周</t>
        </is>
      </c>
      <c r="B1445" s="3" t="inlineStr">
        <is>
          <t>8/18</t>
        </is>
      </c>
      <c r="C1445" s="3" t="inlineStr">
        <is>
          <t>二</t>
        </is>
      </c>
      <c r="D1445" s="3" t="inlineStr">
        <is>
          <t>07:56 18:55</t>
        </is>
      </c>
      <c r="E1445" s="4" t="n">
        <v>0.3305555555555555</v>
      </c>
      <c r="F1445" s="4" t="n">
        <v>0.7881944444444444</v>
      </c>
      <c r="G1445" s="3">
        <f>IF($E1445="","空卡",IF($F1445="","单卡","正常"))</f>
        <v/>
      </c>
      <c r="H1445" s="5">
        <f>IF($G1445="正常",ROUND(($F1445-$E1445)*1440,0),"")</f>
        <v/>
      </c>
      <c r="I1445" s="6">
        <f>IF($G1445="正常",$H1445/60,"")</f>
        <v/>
      </c>
      <c r="J1445" s="7">
        <f>IF($G1445="正常",ROUND($H1445/30,0)/2,"")</f>
        <v/>
      </c>
      <c r="K1445" s="7">
        <f>IF($G1445="正常",MIN($J1445,12),"")</f>
        <v/>
      </c>
      <c r="L1445" s="7">
        <f>IF($G1445="正常",MAX($J1445-12,0),"")</f>
        <v/>
      </c>
    </row>
    <row r="1446">
      <c r="A1446" s="3" t="inlineStr">
        <is>
          <t>王才周</t>
        </is>
      </c>
      <c r="B1446" s="3" t="inlineStr">
        <is>
          <t>8/19</t>
        </is>
      </c>
      <c r="C1446" s="3" t="inlineStr">
        <is>
          <t>三</t>
        </is>
      </c>
      <c r="D1446" s="3" t="inlineStr">
        <is>
          <t>08:58 20:32</t>
        </is>
      </c>
      <c r="E1446" s="4" t="n">
        <v>0.3736111111111111</v>
      </c>
      <c r="F1446" s="4" t="n">
        <v>0.8555555555555555</v>
      </c>
      <c r="G1446" s="3">
        <f>IF($E1446="","空卡",IF($F1446="","单卡","正常"))</f>
        <v/>
      </c>
      <c r="H1446" s="5">
        <f>IF($G1446="正常",ROUND(($F1446-$E1446)*1440,0),"")</f>
        <v/>
      </c>
      <c r="I1446" s="6">
        <f>IF($G1446="正常",$H1446/60,"")</f>
        <v/>
      </c>
      <c r="J1446" s="7">
        <f>IF($G1446="正常",ROUND($H1446/30,0)/2,"")</f>
        <v/>
      </c>
      <c r="K1446" s="7">
        <f>IF($G1446="正常",MIN($J1446,12),"")</f>
        <v/>
      </c>
      <c r="L1446" s="7">
        <f>IF($G1446="正常",MAX($J1446-12,0),"")</f>
        <v/>
      </c>
    </row>
    <row r="1447">
      <c r="A1447" s="3" t="inlineStr">
        <is>
          <t>王才周</t>
        </is>
      </c>
      <c r="B1447" s="3" t="inlineStr">
        <is>
          <t>8/20</t>
        </is>
      </c>
      <c r="C1447" s="3" t="inlineStr">
        <is>
          <t>四</t>
        </is>
      </c>
      <c r="D1447" s="3" t="inlineStr">
        <is>
          <t>08:56 20:07</t>
        </is>
      </c>
      <c r="E1447" s="4" t="n">
        <v>0.3722222222222222</v>
      </c>
      <c r="F1447" s="4" t="n">
        <v>0.8381944444444445</v>
      </c>
      <c r="G1447" s="3">
        <f>IF($E1447="","空卡",IF($F1447="","单卡","正常"))</f>
        <v/>
      </c>
      <c r="H1447" s="5">
        <f>IF($G1447="正常",ROUND(($F1447-$E1447)*1440,0),"")</f>
        <v/>
      </c>
      <c r="I1447" s="6">
        <f>IF($G1447="正常",$H1447/60,"")</f>
        <v/>
      </c>
      <c r="J1447" s="7">
        <f>IF($G1447="正常",ROUND($H1447/30,0)/2,"")</f>
        <v/>
      </c>
      <c r="K1447" s="7">
        <f>IF($G1447="正常",MIN($J1447,12),"")</f>
        <v/>
      </c>
      <c r="L1447" s="7">
        <f>IF($G1447="正常",MAX($J1447-12,0),"")</f>
        <v/>
      </c>
    </row>
    <row r="1448">
      <c r="A1448" s="3" t="inlineStr">
        <is>
          <t>王才周</t>
        </is>
      </c>
      <c r="B1448" s="3" t="inlineStr">
        <is>
          <t>8/21</t>
        </is>
      </c>
      <c r="C1448" s="3" t="inlineStr">
        <is>
          <t>五</t>
        </is>
      </c>
      <c r="D1448" s="3" t="inlineStr">
        <is>
          <t>06:57 19:03</t>
        </is>
      </c>
      <c r="E1448" s="4" t="n">
        <v>0.2895833333333334</v>
      </c>
      <c r="F1448" s="4" t="n">
        <v>0.79375</v>
      </c>
      <c r="G1448" s="3">
        <f>IF($E1448="","空卡",IF($F1448="","单卡","正常"))</f>
        <v/>
      </c>
      <c r="H1448" s="5">
        <f>IF($G1448="正常",ROUND(($F1448-$E1448)*1440,0),"")</f>
        <v/>
      </c>
      <c r="I1448" s="6">
        <f>IF($G1448="正常",$H1448/60,"")</f>
        <v/>
      </c>
      <c r="J1448" s="7">
        <f>IF($G1448="正常",ROUND($H1448/30,0)/2,"")</f>
        <v/>
      </c>
      <c r="K1448" s="7">
        <f>IF($G1448="正常",MIN($J1448,12),"")</f>
        <v/>
      </c>
      <c r="L1448" s="7">
        <f>IF($G1448="正常",MAX($J1448-12,0),"")</f>
        <v/>
      </c>
    </row>
    <row r="1449">
      <c r="A1449" s="3" t="inlineStr">
        <is>
          <t>王才周</t>
        </is>
      </c>
      <c r="B1449" s="3" t="inlineStr">
        <is>
          <t>8/22</t>
        </is>
      </c>
      <c r="C1449" s="3" t="inlineStr">
        <is>
          <t>六</t>
        </is>
      </c>
      <c r="D1449" s="3" t="inlineStr">
        <is>
          <t>06:58 18:30</t>
        </is>
      </c>
      <c r="E1449" s="4" t="n">
        <v>0.2902777777777778</v>
      </c>
      <c r="F1449" s="4" t="n">
        <v>0.7708333333333334</v>
      </c>
      <c r="G1449" s="3">
        <f>IF($E1449="","空卡",IF($F1449="","单卡","正常"))</f>
        <v/>
      </c>
      <c r="H1449" s="5">
        <f>IF($G1449="正常",ROUND(($F1449-$E1449)*1440,0),"")</f>
        <v/>
      </c>
      <c r="I1449" s="6">
        <f>IF($G1449="正常",$H1449/60,"")</f>
        <v/>
      </c>
      <c r="J1449" s="7">
        <f>IF($G1449="正常",ROUND($H1449/30,0)/2,"")</f>
        <v/>
      </c>
      <c r="K1449" s="7">
        <f>IF($G1449="正常",MIN($J1449,12),"")</f>
        <v/>
      </c>
      <c r="L1449" s="7">
        <f>IF($G1449="正常",MAX($J1449-12,0),"")</f>
        <v/>
      </c>
    </row>
    <row r="1450">
      <c r="A1450" s="3" t="inlineStr">
        <is>
          <t>王才周</t>
        </is>
      </c>
      <c r="B1450" s="3" t="inlineStr">
        <is>
          <t>8/23</t>
        </is>
      </c>
      <c r="C1450" s="3" t="inlineStr">
        <is>
          <t>日</t>
        </is>
      </c>
      <c r="D1450" s="3" t="inlineStr">
        <is>
          <t>06:56 18:10</t>
        </is>
      </c>
      <c r="E1450" s="4" t="n">
        <v>0.2888888888888889</v>
      </c>
      <c r="F1450" s="4" t="n">
        <v>0.7569444444444444</v>
      </c>
      <c r="G1450" s="3">
        <f>IF($E1450="","空卡",IF($F1450="","单卡","正常"))</f>
        <v/>
      </c>
      <c r="H1450" s="5">
        <f>IF($G1450="正常",ROUND(($F1450-$E1450)*1440,0),"")</f>
        <v/>
      </c>
      <c r="I1450" s="6">
        <f>IF($G1450="正常",$H1450/60,"")</f>
        <v/>
      </c>
      <c r="J1450" s="7">
        <f>IF($G1450="正常",ROUND($H1450/30,0)/2,"")</f>
        <v/>
      </c>
      <c r="K1450" s="7">
        <f>IF($G1450="正常",MIN($J1450,12),"")</f>
        <v/>
      </c>
      <c r="L1450" s="7">
        <f>IF($G1450="正常",MAX($J1450-12,0),"")</f>
        <v/>
      </c>
    </row>
    <row r="1451">
      <c r="A1451" s="3" t="inlineStr">
        <is>
          <t>王才周</t>
        </is>
      </c>
      <c r="B1451" s="3" t="inlineStr">
        <is>
          <t>8/24</t>
        </is>
      </c>
      <c r="C1451" s="3" t="inlineStr">
        <is>
          <t>一</t>
        </is>
      </c>
      <c r="D1451" s="3" t="inlineStr">
        <is>
          <t>07:01 18:27</t>
        </is>
      </c>
      <c r="E1451" s="4" t="n">
        <v>0.2923611111111111</v>
      </c>
      <c r="F1451" s="4" t="n">
        <v>0.76875</v>
      </c>
      <c r="G1451" s="3">
        <f>IF($E1451="","空卡",IF($F1451="","单卡","正常"))</f>
        <v/>
      </c>
      <c r="H1451" s="5">
        <f>IF($G1451="正常",ROUND(($F1451-$E1451)*1440,0),"")</f>
        <v/>
      </c>
      <c r="I1451" s="6">
        <f>IF($G1451="正常",$H1451/60,"")</f>
        <v/>
      </c>
      <c r="J1451" s="7">
        <f>IF($G1451="正常",ROUND($H1451/30,0)/2,"")</f>
        <v/>
      </c>
      <c r="K1451" s="7">
        <f>IF($G1451="正常",MIN($J1451,12),"")</f>
        <v/>
      </c>
      <c r="L1451" s="7">
        <f>IF($G1451="正常",MAX($J1451-12,0),"")</f>
        <v/>
      </c>
    </row>
    <row r="1452">
      <c r="A1452" s="3" t="inlineStr">
        <is>
          <t>王才周</t>
        </is>
      </c>
      <c r="B1452" s="3" t="inlineStr">
        <is>
          <t>8/25</t>
        </is>
      </c>
      <c r="C1452" s="3" t="inlineStr">
        <is>
          <t>二</t>
        </is>
      </c>
      <c r="D1452" s="3" t="inlineStr">
        <is>
          <t>08:51 18:55</t>
        </is>
      </c>
      <c r="E1452" s="4" t="n">
        <v>0.36875</v>
      </c>
      <c r="F1452" s="4" t="n">
        <v>0.7881944444444444</v>
      </c>
      <c r="G1452" s="3">
        <f>IF($E1452="","空卡",IF($F1452="","单卡","正常"))</f>
        <v/>
      </c>
      <c r="H1452" s="5">
        <f>IF($G1452="正常",ROUND(($F1452-$E1452)*1440,0),"")</f>
        <v/>
      </c>
      <c r="I1452" s="6">
        <f>IF($G1452="正常",$H1452/60,"")</f>
        <v/>
      </c>
      <c r="J1452" s="7">
        <f>IF($G1452="正常",ROUND($H1452/30,0)/2,"")</f>
        <v/>
      </c>
      <c r="K1452" s="7">
        <f>IF($G1452="正常",MIN($J1452,12),"")</f>
        <v/>
      </c>
      <c r="L1452" s="7">
        <f>IF($G1452="正常",MAX($J1452-12,0),"")</f>
        <v/>
      </c>
    </row>
    <row r="1453">
      <c r="A1453" s="3" t="inlineStr">
        <is>
          <t>王才周</t>
        </is>
      </c>
      <c r="B1453" s="3" t="inlineStr">
        <is>
          <t>8/26</t>
        </is>
      </c>
      <c r="C1453" s="3" t="inlineStr">
        <is>
          <t>三</t>
        </is>
      </c>
      <c r="D1453" s="3" t="inlineStr">
        <is>
          <t>07:52 18:58</t>
        </is>
      </c>
      <c r="E1453" s="4" t="n">
        <v>0.3277777777777778</v>
      </c>
      <c r="F1453" s="4" t="n">
        <v>0.7902777777777777</v>
      </c>
      <c r="G1453" s="3">
        <f>IF($E1453="","空卡",IF($F1453="","单卡","正常"))</f>
        <v/>
      </c>
      <c r="H1453" s="5">
        <f>IF($G1453="正常",ROUND(($F1453-$E1453)*1440,0),"")</f>
        <v/>
      </c>
      <c r="I1453" s="6">
        <f>IF($G1453="正常",$H1453/60,"")</f>
        <v/>
      </c>
      <c r="J1453" s="7">
        <f>IF($G1453="正常",ROUND($H1453/30,0)/2,"")</f>
        <v/>
      </c>
      <c r="K1453" s="7">
        <f>IF($G1453="正常",MIN($J1453,12),"")</f>
        <v/>
      </c>
      <c r="L1453" s="7">
        <f>IF($G1453="正常",MAX($J1453-12,0),"")</f>
        <v/>
      </c>
    </row>
    <row r="1454">
      <c r="A1454" s="3" t="inlineStr">
        <is>
          <t>王才周</t>
        </is>
      </c>
      <c r="B1454" s="3" t="inlineStr">
        <is>
          <t>8/27</t>
        </is>
      </c>
      <c r="C1454" s="3" t="inlineStr">
        <is>
          <t>四</t>
        </is>
      </c>
      <c r="D1454" s="3" t="inlineStr">
        <is>
          <t>07:53 19:07</t>
        </is>
      </c>
      <c r="E1454" s="4" t="n">
        <v>0.3284722222222222</v>
      </c>
      <c r="F1454" s="4" t="n">
        <v>0.7965277777777777</v>
      </c>
      <c r="G1454" s="3">
        <f>IF($E1454="","空卡",IF($F1454="","单卡","正常"))</f>
        <v/>
      </c>
      <c r="H1454" s="5">
        <f>IF($G1454="正常",ROUND(($F1454-$E1454)*1440,0),"")</f>
        <v/>
      </c>
      <c r="I1454" s="6">
        <f>IF($G1454="正常",$H1454/60,"")</f>
        <v/>
      </c>
      <c r="J1454" s="7">
        <f>IF($G1454="正常",ROUND($H1454/30,0)/2,"")</f>
        <v/>
      </c>
      <c r="K1454" s="7">
        <f>IF($G1454="正常",MIN($J1454,12),"")</f>
        <v/>
      </c>
      <c r="L1454" s="7">
        <f>IF($G1454="正常",MAX($J1454-12,0),"")</f>
        <v/>
      </c>
    </row>
    <row r="1455">
      <c r="A1455" s="3" t="inlineStr">
        <is>
          <t>王才周</t>
        </is>
      </c>
      <c r="B1455" s="3" t="inlineStr">
        <is>
          <t>8/28</t>
        </is>
      </c>
      <c r="C1455" s="3" t="inlineStr">
        <is>
          <t>五</t>
        </is>
      </c>
      <c r="D1455" s="3" t="inlineStr">
        <is>
          <t>07:56 19:03</t>
        </is>
      </c>
      <c r="E1455" s="4" t="n">
        <v>0.3305555555555555</v>
      </c>
      <c r="F1455" s="4" t="n">
        <v>0.79375</v>
      </c>
      <c r="G1455" s="3">
        <f>IF($E1455="","空卡",IF($F1455="","单卡","正常"))</f>
        <v/>
      </c>
      <c r="H1455" s="5">
        <f>IF($G1455="正常",ROUND(($F1455-$E1455)*1440,0),"")</f>
        <v/>
      </c>
      <c r="I1455" s="6">
        <f>IF($G1455="正常",$H1455/60,"")</f>
        <v/>
      </c>
      <c r="J1455" s="7">
        <f>IF($G1455="正常",ROUND($H1455/30,0)/2,"")</f>
        <v/>
      </c>
      <c r="K1455" s="7">
        <f>IF($G1455="正常",MIN($J1455,12),"")</f>
        <v/>
      </c>
      <c r="L1455" s="7">
        <f>IF($G1455="正常",MAX($J1455-12,0),"")</f>
        <v/>
      </c>
    </row>
    <row r="1456">
      <c r="A1456" s="3" t="inlineStr">
        <is>
          <t>王才周</t>
        </is>
      </c>
      <c r="B1456" s="3" t="inlineStr">
        <is>
          <t>8/29</t>
        </is>
      </c>
      <c r="C1456" s="3" t="inlineStr">
        <is>
          <t>六</t>
        </is>
      </c>
      <c r="D1456" s="3" t="inlineStr">
        <is>
          <t>07:53 22:01</t>
        </is>
      </c>
      <c r="E1456" s="4" t="n">
        <v>0.3284722222222222</v>
      </c>
      <c r="F1456" s="4" t="n">
        <v>0.9173611111111111</v>
      </c>
      <c r="G1456" s="3">
        <f>IF($E1456="","空卡",IF($F1456="","单卡","正常"))</f>
        <v/>
      </c>
      <c r="H1456" s="5">
        <f>IF($G1456="正常",ROUND(($F1456-$E1456)*1440,0),"")</f>
        <v/>
      </c>
      <c r="I1456" s="6">
        <f>IF($G1456="正常",$H1456/60,"")</f>
        <v/>
      </c>
      <c r="J1456" s="7">
        <f>IF($G1456="正常",ROUND($H1456/30,0)/2,"")</f>
        <v/>
      </c>
      <c r="K1456" s="7">
        <f>IF($G1456="正常",MIN($J1456,12),"")</f>
        <v/>
      </c>
      <c r="L1456" s="7">
        <f>IF($G1456="正常",MAX($J1456-12,0),"")</f>
        <v/>
      </c>
    </row>
    <row r="1457">
      <c r="A1457" s="3" t="inlineStr">
        <is>
          <t>王才周</t>
        </is>
      </c>
      <c r="B1457" s="3" t="inlineStr">
        <is>
          <t>8/30</t>
        </is>
      </c>
      <c r="C1457" s="3" t="inlineStr">
        <is>
          <t>日</t>
        </is>
      </c>
      <c r="D1457" s="3" t="inlineStr">
        <is>
          <t>07:50 18:59</t>
        </is>
      </c>
      <c r="E1457" s="4" t="n">
        <v>0.3263888888888889</v>
      </c>
      <c r="F1457" s="4" t="n">
        <v>0.7909722222222222</v>
      </c>
      <c r="G1457" s="3">
        <f>IF($E1457="","空卡",IF($F1457="","单卡","正常"))</f>
        <v/>
      </c>
      <c r="H1457" s="5">
        <f>IF($G1457="正常",ROUND(($F1457-$E1457)*1440,0),"")</f>
        <v/>
      </c>
      <c r="I1457" s="6">
        <f>IF($G1457="正常",$H1457/60,"")</f>
        <v/>
      </c>
      <c r="J1457" s="7">
        <f>IF($G1457="正常",ROUND($H1457/30,0)/2,"")</f>
        <v/>
      </c>
      <c r="K1457" s="7">
        <f>IF($G1457="正常",MIN($J1457,12),"")</f>
        <v/>
      </c>
      <c r="L1457" s="7">
        <f>IF($G1457="正常",MAX($J1457-12,0),"")</f>
        <v/>
      </c>
    </row>
    <row r="1458">
      <c r="A1458" s="8" t="inlineStr">
        <is>
          <t>王才周</t>
        </is>
      </c>
      <c r="B1458" s="8" t="inlineStr">
        <is>
          <t>8/31</t>
        </is>
      </c>
      <c r="C1458" s="8" t="inlineStr">
        <is>
          <t>一</t>
        </is>
      </c>
      <c r="D1458" s="8" t="inlineStr"/>
      <c r="E1458" s="9" t="n"/>
      <c r="F1458" s="9" t="n"/>
      <c r="G1458" s="10">
        <f>IF($E1458="","空卡",IF($F1458="","单卡","正常"))</f>
        <v/>
      </c>
      <c r="H1458" s="11">
        <f>IF($G1458="正常",ROUND(($F1458-$E1458)*1440,0),"")</f>
        <v/>
      </c>
      <c r="I1458" s="12">
        <f>IF($G1458="正常",$H1458/60,"")</f>
        <v/>
      </c>
      <c r="J1458" s="13">
        <f>IF($G1458="正常",ROUND($H1458/30,0)/2,"")</f>
        <v/>
      </c>
      <c r="K1458" s="13">
        <f>IF($G1458="正常",MIN($J1458,12),"")</f>
        <v/>
      </c>
      <c r="L1458" s="13">
        <f>IF($G1458="正常",MAX($J1458-12,0),"")</f>
        <v/>
      </c>
    </row>
    <row r="1459">
      <c r="A1459" s="8" t="inlineStr">
        <is>
          <t>罗先贵</t>
        </is>
      </c>
      <c r="B1459" s="8" t="inlineStr">
        <is>
          <t>8/1</t>
        </is>
      </c>
      <c r="C1459" s="8" t="inlineStr">
        <is>
          <t>六</t>
        </is>
      </c>
      <c r="D1459" s="8" t="inlineStr"/>
      <c r="E1459" s="9" t="n"/>
      <c r="F1459" s="9" t="n"/>
      <c r="G1459" s="10">
        <f>IF($E1459="","空卡",IF($F1459="","单卡","正常"))</f>
        <v/>
      </c>
      <c r="H1459" s="11">
        <f>IF($G1459="正常",ROUND(($F1459-$E1459)*1440,0),"")</f>
        <v/>
      </c>
      <c r="I1459" s="12">
        <f>IF($G1459="正常",$H1459/60,"")</f>
        <v/>
      </c>
      <c r="J1459" s="13">
        <f>IF($G1459="正常",ROUND($H1459/30,0)/2,"")</f>
        <v/>
      </c>
      <c r="K1459" s="13">
        <f>IF($G1459="正常",MIN($J1459,12),"")</f>
        <v/>
      </c>
      <c r="L1459" s="13">
        <f>IF($G1459="正常",MAX($J1459-12,0),"")</f>
        <v/>
      </c>
    </row>
    <row r="1460">
      <c r="A1460" s="8" t="inlineStr">
        <is>
          <t>罗先贵</t>
        </is>
      </c>
      <c r="B1460" s="8" t="inlineStr">
        <is>
          <t>8/2</t>
        </is>
      </c>
      <c r="C1460" s="8" t="inlineStr">
        <is>
          <t>日</t>
        </is>
      </c>
      <c r="D1460" s="8" t="inlineStr"/>
      <c r="E1460" s="9" t="n"/>
      <c r="F1460" s="9" t="n"/>
      <c r="G1460" s="10">
        <f>IF($E1460="","空卡",IF($F1460="","单卡","正常"))</f>
        <v/>
      </c>
      <c r="H1460" s="11">
        <f>IF($G1460="正常",ROUND(($F1460-$E1460)*1440,0),"")</f>
        <v/>
      </c>
      <c r="I1460" s="12">
        <f>IF($G1460="正常",$H1460/60,"")</f>
        <v/>
      </c>
      <c r="J1460" s="13">
        <f>IF($G1460="正常",ROUND($H1460/30,0)/2,"")</f>
        <v/>
      </c>
      <c r="K1460" s="13">
        <f>IF($G1460="正常",MIN($J1460,12),"")</f>
        <v/>
      </c>
      <c r="L1460" s="13">
        <f>IF($G1460="正常",MAX($J1460-12,0),"")</f>
        <v/>
      </c>
    </row>
    <row r="1461">
      <c r="A1461" s="8" t="inlineStr">
        <is>
          <t>罗先贵</t>
        </is>
      </c>
      <c r="B1461" s="8" t="inlineStr">
        <is>
          <t>8/3</t>
        </is>
      </c>
      <c r="C1461" s="8" t="inlineStr">
        <is>
          <t>一</t>
        </is>
      </c>
      <c r="D1461" s="8" t="inlineStr"/>
      <c r="E1461" s="9" t="n"/>
      <c r="F1461" s="9" t="n"/>
      <c r="G1461" s="10">
        <f>IF($E1461="","空卡",IF($F1461="","单卡","正常"))</f>
        <v/>
      </c>
      <c r="H1461" s="11">
        <f>IF($G1461="正常",ROUND(($F1461-$E1461)*1440,0),"")</f>
        <v/>
      </c>
      <c r="I1461" s="12">
        <f>IF($G1461="正常",$H1461/60,"")</f>
        <v/>
      </c>
      <c r="J1461" s="13">
        <f>IF($G1461="正常",ROUND($H1461/30,0)/2,"")</f>
        <v/>
      </c>
      <c r="K1461" s="13">
        <f>IF($G1461="正常",MIN($J1461,12),"")</f>
        <v/>
      </c>
      <c r="L1461" s="13">
        <f>IF($G1461="正常",MAX($J1461-12,0),"")</f>
        <v/>
      </c>
    </row>
    <row r="1462">
      <c r="A1462" s="8" t="inlineStr">
        <is>
          <t>罗先贵</t>
        </is>
      </c>
      <c r="B1462" s="8" t="inlineStr">
        <is>
          <t>8/4</t>
        </is>
      </c>
      <c r="C1462" s="8" t="inlineStr">
        <is>
          <t>二</t>
        </is>
      </c>
      <c r="D1462" s="8" t="inlineStr"/>
      <c r="E1462" s="9" t="n"/>
      <c r="F1462" s="9" t="n"/>
      <c r="G1462" s="10">
        <f>IF($E1462="","空卡",IF($F1462="","单卡","正常"))</f>
        <v/>
      </c>
      <c r="H1462" s="11">
        <f>IF($G1462="正常",ROUND(($F1462-$E1462)*1440,0),"")</f>
        <v/>
      </c>
      <c r="I1462" s="12">
        <f>IF($G1462="正常",$H1462/60,"")</f>
        <v/>
      </c>
      <c r="J1462" s="13">
        <f>IF($G1462="正常",ROUND($H1462/30,0)/2,"")</f>
        <v/>
      </c>
      <c r="K1462" s="13">
        <f>IF($G1462="正常",MIN($J1462,12),"")</f>
        <v/>
      </c>
      <c r="L1462" s="13">
        <f>IF($G1462="正常",MAX($J1462-12,0),"")</f>
        <v/>
      </c>
    </row>
    <row r="1463">
      <c r="A1463" s="8" t="inlineStr">
        <is>
          <t>罗先贵</t>
        </is>
      </c>
      <c r="B1463" s="8" t="inlineStr">
        <is>
          <t>8/5</t>
        </is>
      </c>
      <c r="C1463" s="8" t="inlineStr">
        <is>
          <t>三</t>
        </is>
      </c>
      <c r="D1463" s="8" t="inlineStr"/>
      <c r="E1463" s="9" t="n"/>
      <c r="F1463" s="9" t="n"/>
      <c r="G1463" s="10">
        <f>IF($E1463="","空卡",IF($F1463="","单卡","正常"))</f>
        <v/>
      </c>
      <c r="H1463" s="11">
        <f>IF($G1463="正常",ROUND(($F1463-$E1463)*1440,0),"")</f>
        <v/>
      </c>
      <c r="I1463" s="12">
        <f>IF($G1463="正常",$H1463/60,"")</f>
        <v/>
      </c>
      <c r="J1463" s="13">
        <f>IF($G1463="正常",ROUND($H1463/30,0)/2,"")</f>
        <v/>
      </c>
      <c r="K1463" s="13">
        <f>IF($G1463="正常",MIN($J1463,12),"")</f>
        <v/>
      </c>
      <c r="L1463" s="13">
        <f>IF($G1463="正常",MAX($J1463-12,0),"")</f>
        <v/>
      </c>
    </row>
    <row r="1464">
      <c r="A1464" s="8" t="inlineStr">
        <is>
          <t>罗先贵</t>
        </is>
      </c>
      <c r="B1464" s="8" t="inlineStr">
        <is>
          <t>8/6</t>
        </is>
      </c>
      <c r="C1464" s="8" t="inlineStr">
        <is>
          <t>四</t>
        </is>
      </c>
      <c r="D1464" s="8" t="inlineStr"/>
      <c r="E1464" s="9" t="n"/>
      <c r="F1464" s="9" t="n"/>
      <c r="G1464" s="10">
        <f>IF($E1464="","空卡",IF($F1464="","单卡","正常"))</f>
        <v/>
      </c>
      <c r="H1464" s="11">
        <f>IF($G1464="正常",ROUND(($F1464-$E1464)*1440,0),"")</f>
        <v/>
      </c>
      <c r="I1464" s="12">
        <f>IF($G1464="正常",$H1464/60,"")</f>
        <v/>
      </c>
      <c r="J1464" s="13">
        <f>IF($G1464="正常",ROUND($H1464/30,0)/2,"")</f>
        <v/>
      </c>
      <c r="K1464" s="13">
        <f>IF($G1464="正常",MIN($J1464,12),"")</f>
        <v/>
      </c>
      <c r="L1464" s="13">
        <f>IF($G1464="正常",MAX($J1464-12,0),"")</f>
        <v/>
      </c>
    </row>
    <row r="1465">
      <c r="A1465" s="3" t="inlineStr">
        <is>
          <t>罗先贵</t>
        </is>
      </c>
      <c r="B1465" s="3" t="inlineStr">
        <is>
          <t>8/7</t>
        </is>
      </c>
      <c r="C1465" s="3" t="inlineStr">
        <is>
          <t>五</t>
        </is>
      </c>
      <c r="D1465" s="3" t="inlineStr">
        <is>
          <t>07:54 20:02</t>
        </is>
      </c>
      <c r="E1465" s="4" t="n">
        <v>0.3291666666666667</v>
      </c>
      <c r="F1465" s="4" t="n">
        <v>0.8347222222222223</v>
      </c>
      <c r="G1465" s="3">
        <f>IF($E1465="","空卡",IF($F1465="","单卡","正常"))</f>
        <v/>
      </c>
      <c r="H1465" s="5">
        <f>IF($G1465="正常",ROUND(($F1465-$E1465)*1440,0),"")</f>
        <v/>
      </c>
      <c r="I1465" s="6">
        <f>IF($G1465="正常",$H1465/60,"")</f>
        <v/>
      </c>
      <c r="J1465" s="7">
        <f>IF($G1465="正常",ROUND($H1465/30,0)/2,"")</f>
        <v/>
      </c>
      <c r="K1465" s="7">
        <f>IF($G1465="正常",MIN($J1465,12),"")</f>
        <v/>
      </c>
      <c r="L1465" s="7">
        <f>IF($G1465="正常",MAX($J1465-12,0),"")</f>
        <v/>
      </c>
    </row>
    <row r="1466">
      <c r="A1466" s="3" t="inlineStr">
        <is>
          <t>罗先贵</t>
        </is>
      </c>
      <c r="B1466" s="3" t="inlineStr">
        <is>
          <t>8/8</t>
        </is>
      </c>
      <c r="C1466" s="3" t="inlineStr">
        <is>
          <t>六</t>
        </is>
      </c>
      <c r="D1466" s="3" t="inlineStr">
        <is>
          <t>08:21 19:36</t>
        </is>
      </c>
      <c r="E1466" s="4" t="n">
        <v>0.3479166666666667</v>
      </c>
      <c r="F1466" s="4" t="n">
        <v>0.8166666666666667</v>
      </c>
      <c r="G1466" s="3">
        <f>IF($E1466="","空卡",IF($F1466="","单卡","正常"))</f>
        <v/>
      </c>
      <c r="H1466" s="5">
        <f>IF($G1466="正常",ROUND(($F1466-$E1466)*1440,0),"")</f>
        <v/>
      </c>
      <c r="I1466" s="6">
        <f>IF($G1466="正常",$H1466/60,"")</f>
        <v/>
      </c>
      <c r="J1466" s="7">
        <f>IF($G1466="正常",ROUND($H1466/30,0)/2,"")</f>
        <v/>
      </c>
      <c r="K1466" s="7">
        <f>IF($G1466="正常",MIN($J1466,12),"")</f>
        <v/>
      </c>
      <c r="L1466" s="7">
        <f>IF($G1466="正常",MAX($J1466-12,0),"")</f>
        <v/>
      </c>
    </row>
    <row r="1467">
      <c r="A1467" s="8" t="inlineStr">
        <is>
          <t>罗先贵</t>
        </is>
      </c>
      <c r="B1467" s="8" t="inlineStr">
        <is>
          <t>8/9</t>
        </is>
      </c>
      <c r="C1467" s="8" t="inlineStr">
        <is>
          <t>日</t>
        </is>
      </c>
      <c r="D1467" s="8" t="inlineStr"/>
      <c r="E1467" s="9" t="n"/>
      <c r="F1467" s="9" t="n"/>
      <c r="G1467" s="10">
        <f>IF($E1467="","空卡",IF($F1467="","单卡","正常"))</f>
        <v/>
      </c>
      <c r="H1467" s="11">
        <f>IF($G1467="正常",ROUND(($F1467-$E1467)*1440,0),"")</f>
        <v/>
      </c>
      <c r="I1467" s="12">
        <f>IF($G1467="正常",$H1467/60,"")</f>
        <v/>
      </c>
      <c r="J1467" s="13">
        <f>IF($G1467="正常",ROUND($H1467/30,0)/2,"")</f>
        <v/>
      </c>
      <c r="K1467" s="13">
        <f>IF($G1467="正常",MIN($J1467,12),"")</f>
        <v/>
      </c>
      <c r="L1467" s="13">
        <f>IF($G1467="正常",MAX($J1467-12,0),"")</f>
        <v/>
      </c>
    </row>
    <row r="1468">
      <c r="A1468" s="3" t="inlineStr">
        <is>
          <t>罗先贵</t>
        </is>
      </c>
      <c r="B1468" s="3" t="inlineStr">
        <is>
          <t>8/10</t>
        </is>
      </c>
      <c r="C1468" s="3" t="inlineStr">
        <is>
          <t>一</t>
        </is>
      </c>
      <c r="D1468" s="3" t="inlineStr">
        <is>
          <t>08:24 08:25 19:54</t>
        </is>
      </c>
      <c r="E1468" s="4" t="n">
        <v>0.35</v>
      </c>
      <c r="F1468" s="4" t="n">
        <v>0.8291666666666667</v>
      </c>
      <c r="G1468" s="3">
        <f>IF($E1468="","空卡",IF($F1468="","单卡","正常"))</f>
        <v/>
      </c>
      <c r="H1468" s="5">
        <f>IF($G1468="正常",ROUND(($F1468-$E1468)*1440,0),"")</f>
        <v/>
      </c>
      <c r="I1468" s="6">
        <f>IF($G1468="正常",$H1468/60,"")</f>
        <v/>
      </c>
      <c r="J1468" s="7">
        <f>IF($G1468="正常",ROUND($H1468/30,0)/2,"")</f>
        <v/>
      </c>
      <c r="K1468" s="7">
        <f>IF($G1468="正常",MIN($J1468,12),"")</f>
        <v/>
      </c>
      <c r="L1468" s="7">
        <f>IF($G1468="正常",MAX($J1468-12,0),"")</f>
        <v/>
      </c>
    </row>
    <row r="1469">
      <c r="A1469" s="3" t="inlineStr">
        <is>
          <t>罗先贵</t>
        </is>
      </c>
      <c r="B1469" s="3" t="inlineStr">
        <is>
          <t>8/11</t>
        </is>
      </c>
      <c r="C1469" s="3" t="inlineStr">
        <is>
          <t>二</t>
        </is>
      </c>
      <c r="D1469" s="3" t="inlineStr">
        <is>
          <t>08:22 18:06</t>
        </is>
      </c>
      <c r="E1469" s="4" t="n">
        <v>0.3486111111111111</v>
      </c>
      <c r="F1469" s="4" t="n">
        <v>0.7541666666666667</v>
      </c>
      <c r="G1469" s="3">
        <f>IF($E1469="","空卡",IF($F1469="","单卡","正常"))</f>
        <v/>
      </c>
      <c r="H1469" s="5">
        <f>IF($G1469="正常",ROUND(($F1469-$E1469)*1440,0),"")</f>
        <v/>
      </c>
      <c r="I1469" s="6">
        <f>IF($G1469="正常",$H1469/60,"")</f>
        <v/>
      </c>
      <c r="J1469" s="7">
        <f>IF($G1469="正常",ROUND($H1469/30,0)/2,"")</f>
        <v/>
      </c>
      <c r="K1469" s="7">
        <f>IF($G1469="正常",MIN($J1469,12),"")</f>
        <v/>
      </c>
      <c r="L1469" s="7">
        <f>IF($G1469="正常",MAX($J1469-12,0),"")</f>
        <v/>
      </c>
    </row>
    <row r="1470">
      <c r="A1470" s="3" t="inlineStr">
        <is>
          <t>罗先贵</t>
        </is>
      </c>
      <c r="B1470" s="3" t="inlineStr">
        <is>
          <t>8/12</t>
        </is>
      </c>
      <c r="C1470" s="3" t="inlineStr">
        <is>
          <t>三</t>
        </is>
      </c>
      <c r="D1470" s="3" t="inlineStr">
        <is>
          <t>08:21 12:23</t>
        </is>
      </c>
      <c r="E1470" s="4" t="n">
        <v>0.3479166666666667</v>
      </c>
      <c r="F1470" s="4" t="n">
        <v>0.5159722222222223</v>
      </c>
      <c r="G1470" s="3">
        <f>IF($E1470="","空卡",IF($F1470="","单卡","正常"))</f>
        <v/>
      </c>
      <c r="H1470" s="5">
        <f>IF($G1470="正常",ROUND(($F1470-$E1470)*1440,0),"")</f>
        <v/>
      </c>
      <c r="I1470" s="6">
        <f>IF($G1470="正常",$H1470/60,"")</f>
        <v/>
      </c>
      <c r="J1470" s="7">
        <f>IF($G1470="正常",ROUND($H1470/30,0)/2,"")</f>
        <v/>
      </c>
      <c r="K1470" s="7">
        <f>IF($G1470="正常",MIN($J1470,12),"")</f>
        <v/>
      </c>
      <c r="L1470" s="7">
        <f>IF($G1470="正常",MAX($J1470-12,0),"")</f>
        <v/>
      </c>
    </row>
    <row r="1471">
      <c r="A1471" s="8" t="inlineStr">
        <is>
          <t>罗先贵</t>
        </is>
      </c>
      <c r="B1471" s="8" t="inlineStr">
        <is>
          <t>8/13</t>
        </is>
      </c>
      <c r="C1471" s="8" t="inlineStr">
        <is>
          <t>四</t>
        </is>
      </c>
      <c r="D1471" s="8" t="inlineStr"/>
      <c r="E1471" s="9" t="n"/>
      <c r="F1471" s="9" t="n"/>
      <c r="G1471" s="10">
        <f>IF($E1471="","空卡",IF($F1471="","单卡","正常"))</f>
        <v/>
      </c>
      <c r="H1471" s="11">
        <f>IF($G1471="正常",ROUND(($F1471-$E1471)*1440,0),"")</f>
        <v/>
      </c>
      <c r="I1471" s="12">
        <f>IF($G1471="正常",$H1471/60,"")</f>
        <v/>
      </c>
      <c r="J1471" s="13">
        <f>IF($G1471="正常",ROUND($H1471/30,0)/2,"")</f>
        <v/>
      </c>
      <c r="K1471" s="13">
        <f>IF($G1471="正常",MIN($J1471,12),"")</f>
        <v/>
      </c>
      <c r="L1471" s="13">
        <f>IF($G1471="正常",MAX($J1471-12,0),"")</f>
        <v/>
      </c>
    </row>
    <row r="1472">
      <c r="A1472" s="8" t="inlineStr">
        <is>
          <t>罗先贵</t>
        </is>
      </c>
      <c r="B1472" s="8" t="inlineStr">
        <is>
          <t>8/14</t>
        </is>
      </c>
      <c r="C1472" s="8" t="inlineStr">
        <is>
          <t>五</t>
        </is>
      </c>
      <c r="D1472" s="8" t="inlineStr"/>
      <c r="E1472" s="9" t="n"/>
      <c r="F1472" s="9" t="n"/>
      <c r="G1472" s="10">
        <f>IF($E1472="","空卡",IF($F1472="","单卡","正常"))</f>
        <v/>
      </c>
      <c r="H1472" s="11">
        <f>IF($G1472="正常",ROUND(($F1472-$E1472)*1440,0),"")</f>
        <v/>
      </c>
      <c r="I1472" s="12">
        <f>IF($G1472="正常",$H1472/60,"")</f>
        <v/>
      </c>
      <c r="J1472" s="13">
        <f>IF($G1472="正常",ROUND($H1472/30,0)/2,"")</f>
        <v/>
      </c>
      <c r="K1472" s="13">
        <f>IF($G1472="正常",MIN($J1472,12),"")</f>
        <v/>
      </c>
      <c r="L1472" s="13">
        <f>IF($G1472="正常",MAX($J1472-12,0),"")</f>
        <v/>
      </c>
    </row>
    <row r="1473">
      <c r="A1473" s="8" t="inlineStr">
        <is>
          <t>罗先贵</t>
        </is>
      </c>
      <c r="B1473" s="8" t="inlineStr">
        <is>
          <t>8/15</t>
        </is>
      </c>
      <c r="C1473" s="8" t="inlineStr">
        <is>
          <t>六</t>
        </is>
      </c>
      <c r="D1473" s="8" t="inlineStr"/>
      <c r="E1473" s="9" t="n"/>
      <c r="F1473" s="9" t="n"/>
      <c r="G1473" s="10">
        <f>IF($E1473="","空卡",IF($F1473="","单卡","正常"))</f>
        <v/>
      </c>
      <c r="H1473" s="11">
        <f>IF($G1473="正常",ROUND(($F1473-$E1473)*1440,0),"")</f>
        <v/>
      </c>
      <c r="I1473" s="12">
        <f>IF($G1473="正常",$H1473/60,"")</f>
        <v/>
      </c>
      <c r="J1473" s="13">
        <f>IF($G1473="正常",ROUND($H1473/30,0)/2,"")</f>
        <v/>
      </c>
      <c r="K1473" s="13">
        <f>IF($G1473="正常",MIN($J1473,12),"")</f>
        <v/>
      </c>
      <c r="L1473" s="13">
        <f>IF($G1473="正常",MAX($J1473-12,0),"")</f>
        <v/>
      </c>
    </row>
    <row r="1474">
      <c r="A1474" s="8" t="inlineStr">
        <is>
          <t>罗先贵</t>
        </is>
      </c>
      <c r="B1474" s="8" t="inlineStr">
        <is>
          <t>8/16</t>
        </is>
      </c>
      <c r="C1474" s="8" t="inlineStr">
        <is>
          <t>日</t>
        </is>
      </c>
      <c r="D1474" s="8" t="inlineStr"/>
      <c r="E1474" s="9" t="n"/>
      <c r="F1474" s="9" t="n"/>
      <c r="G1474" s="10">
        <f>IF($E1474="","空卡",IF($F1474="","单卡","正常"))</f>
        <v/>
      </c>
      <c r="H1474" s="11">
        <f>IF($G1474="正常",ROUND(($F1474-$E1474)*1440,0),"")</f>
        <v/>
      </c>
      <c r="I1474" s="12">
        <f>IF($G1474="正常",$H1474/60,"")</f>
        <v/>
      </c>
      <c r="J1474" s="13">
        <f>IF($G1474="正常",ROUND($H1474/30,0)/2,"")</f>
        <v/>
      </c>
      <c r="K1474" s="13">
        <f>IF($G1474="正常",MIN($J1474,12),"")</f>
        <v/>
      </c>
      <c r="L1474" s="13">
        <f>IF($G1474="正常",MAX($J1474-12,0),"")</f>
        <v/>
      </c>
    </row>
    <row r="1475">
      <c r="A1475" s="8" t="inlineStr">
        <is>
          <t>罗先贵</t>
        </is>
      </c>
      <c r="B1475" s="8" t="inlineStr">
        <is>
          <t>8/17</t>
        </is>
      </c>
      <c r="C1475" s="8" t="inlineStr">
        <is>
          <t>一</t>
        </is>
      </c>
      <c r="D1475" s="8" t="inlineStr"/>
      <c r="E1475" s="9" t="n"/>
      <c r="F1475" s="9" t="n"/>
      <c r="G1475" s="10">
        <f>IF($E1475="","空卡",IF($F1475="","单卡","正常"))</f>
        <v/>
      </c>
      <c r="H1475" s="11">
        <f>IF($G1475="正常",ROUND(($F1475-$E1475)*1440,0),"")</f>
        <v/>
      </c>
      <c r="I1475" s="12">
        <f>IF($G1475="正常",$H1475/60,"")</f>
        <v/>
      </c>
      <c r="J1475" s="13">
        <f>IF($G1475="正常",ROUND($H1475/30,0)/2,"")</f>
        <v/>
      </c>
      <c r="K1475" s="13">
        <f>IF($G1475="正常",MIN($J1475,12),"")</f>
        <v/>
      </c>
      <c r="L1475" s="13">
        <f>IF($G1475="正常",MAX($J1475-12,0),"")</f>
        <v/>
      </c>
    </row>
    <row r="1476">
      <c r="A1476" s="8" t="inlineStr">
        <is>
          <t>罗先贵</t>
        </is>
      </c>
      <c r="B1476" s="8" t="inlineStr">
        <is>
          <t>8/18</t>
        </is>
      </c>
      <c r="C1476" s="8" t="inlineStr">
        <is>
          <t>二</t>
        </is>
      </c>
      <c r="D1476" s="8" t="inlineStr"/>
      <c r="E1476" s="9" t="n"/>
      <c r="F1476" s="9" t="n"/>
      <c r="G1476" s="10">
        <f>IF($E1476="","空卡",IF($F1476="","单卡","正常"))</f>
        <v/>
      </c>
      <c r="H1476" s="11">
        <f>IF($G1476="正常",ROUND(($F1476-$E1476)*1440,0),"")</f>
        <v/>
      </c>
      <c r="I1476" s="12">
        <f>IF($G1476="正常",$H1476/60,"")</f>
        <v/>
      </c>
      <c r="J1476" s="13">
        <f>IF($G1476="正常",ROUND($H1476/30,0)/2,"")</f>
        <v/>
      </c>
      <c r="K1476" s="13">
        <f>IF($G1476="正常",MIN($J1476,12),"")</f>
        <v/>
      </c>
      <c r="L1476" s="13">
        <f>IF($G1476="正常",MAX($J1476-12,0),"")</f>
        <v/>
      </c>
    </row>
    <row r="1477">
      <c r="A1477" s="8" t="inlineStr">
        <is>
          <t>罗先贵</t>
        </is>
      </c>
      <c r="B1477" s="8" t="inlineStr">
        <is>
          <t>8/19</t>
        </is>
      </c>
      <c r="C1477" s="8" t="inlineStr">
        <is>
          <t>三</t>
        </is>
      </c>
      <c r="D1477" s="8" t="inlineStr"/>
      <c r="E1477" s="9" t="n"/>
      <c r="F1477" s="9" t="n"/>
      <c r="G1477" s="10">
        <f>IF($E1477="","空卡",IF($F1477="","单卡","正常"))</f>
        <v/>
      </c>
      <c r="H1477" s="11">
        <f>IF($G1477="正常",ROUND(($F1477-$E1477)*1440,0),"")</f>
        <v/>
      </c>
      <c r="I1477" s="12">
        <f>IF($G1477="正常",$H1477/60,"")</f>
        <v/>
      </c>
      <c r="J1477" s="13">
        <f>IF($G1477="正常",ROUND($H1477/30,0)/2,"")</f>
        <v/>
      </c>
      <c r="K1477" s="13">
        <f>IF($G1477="正常",MIN($J1477,12),"")</f>
        <v/>
      </c>
      <c r="L1477" s="13">
        <f>IF($G1477="正常",MAX($J1477-12,0),"")</f>
        <v/>
      </c>
    </row>
    <row r="1478">
      <c r="A1478" s="8" t="inlineStr">
        <is>
          <t>罗先贵</t>
        </is>
      </c>
      <c r="B1478" s="8" t="inlineStr">
        <is>
          <t>8/20</t>
        </is>
      </c>
      <c r="C1478" s="8" t="inlineStr">
        <is>
          <t>四</t>
        </is>
      </c>
      <c r="D1478" s="8" t="inlineStr"/>
      <c r="E1478" s="9" t="n"/>
      <c r="F1478" s="9" t="n"/>
      <c r="G1478" s="10">
        <f>IF($E1478="","空卡",IF($F1478="","单卡","正常"))</f>
        <v/>
      </c>
      <c r="H1478" s="11">
        <f>IF($G1478="正常",ROUND(($F1478-$E1478)*1440,0),"")</f>
        <v/>
      </c>
      <c r="I1478" s="12">
        <f>IF($G1478="正常",$H1478/60,"")</f>
        <v/>
      </c>
      <c r="J1478" s="13">
        <f>IF($G1478="正常",ROUND($H1478/30,0)/2,"")</f>
        <v/>
      </c>
      <c r="K1478" s="13">
        <f>IF($G1478="正常",MIN($J1478,12),"")</f>
        <v/>
      </c>
      <c r="L1478" s="13">
        <f>IF($G1478="正常",MAX($J1478-12,0),"")</f>
        <v/>
      </c>
    </row>
    <row r="1479">
      <c r="A1479" s="8" t="inlineStr">
        <is>
          <t>罗先贵</t>
        </is>
      </c>
      <c r="B1479" s="8" t="inlineStr">
        <is>
          <t>8/21</t>
        </is>
      </c>
      <c r="C1479" s="8" t="inlineStr">
        <is>
          <t>五</t>
        </is>
      </c>
      <c r="D1479" s="8" t="inlineStr"/>
      <c r="E1479" s="9" t="n"/>
      <c r="F1479" s="9" t="n"/>
      <c r="G1479" s="10">
        <f>IF($E1479="","空卡",IF($F1479="","单卡","正常"))</f>
        <v/>
      </c>
      <c r="H1479" s="11">
        <f>IF($G1479="正常",ROUND(($F1479-$E1479)*1440,0),"")</f>
        <v/>
      </c>
      <c r="I1479" s="12">
        <f>IF($G1479="正常",$H1479/60,"")</f>
        <v/>
      </c>
      <c r="J1479" s="13">
        <f>IF($G1479="正常",ROUND($H1479/30,0)/2,"")</f>
        <v/>
      </c>
      <c r="K1479" s="13">
        <f>IF($G1479="正常",MIN($J1479,12),"")</f>
        <v/>
      </c>
      <c r="L1479" s="13">
        <f>IF($G1479="正常",MAX($J1479-12,0),"")</f>
        <v/>
      </c>
    </row>
    <row r="1480">
      <c r="A1480" s="8" t="inlineStr">
        <is>
          <t>罗先贵</t>
        </is>
      </c>
      <c r="B1480" s="8" t="inlineStr">
        <is>
          <t>8/22</t>
        </is>
      </c>
      <c r="C1480" s="8" t="inlineStr">
        <is>
          <t>六</t>
        </is>
      </c>
      <c r="D1480" s="8" t="inlineStr"/>
      <c r="E1480" s="9" t="n"/>
      <c r="F1480" s="9" t="n"/>
      <c r="G1480" s="10">
        <f>IF($E1480="","空卡",IF($F1480="","单卡","正常"))</f>
        <v/>
      </c>
      <c r="H1480" s="11">
        <f>IF($G1480="正常",ROUND(($F1480-$E1480)*1440,0),"")</f>
        <v/>
      </c>
      <c r="I1480" s="12">
        <f>IF($G1480="正常",$H1480/60,"")</f>
        <v/>
      </c>
      <c r="J1480" s="13">
        <f>IF($G1480="正常",ROUND($H1480/30,0)/2,"")</f>
        <v/>
      </c>
      <c r="K1480" s="13">
        <f>IF($G1480="正常",MIN($J1480,12),"")</f>
        <v/>
      </c>
      <c r="L1480" s="13">
        <f>IF($G1480="正常",MAX($J1480-12,0),"")</f>
        <v/>
      </c>
    </row>
    <row r="1481">
      <c r="A1481" s="8" t="inlineStr">
        <is>
          <t>罗先贵</t>
        </is>
      </c>
      <c r="B1481" s="8" t="inlineStr">
        <is>
          <t>8/23</t>
        </is>
      </c>
      <c r="C1481" s="8" t="inlineStr">
        <is>
          <t>日</t>
        </is>
      </c>
      <c r="D1481" s="8" t="inlineStr"/>
      <c r="E1481" s="9" t="n"/>
      <c r="F1481" s="9" t="n"/>
      <c r="G1481" s="10">
        <f>IF($E1481="","空卡",IF($F1481="","单卡","正常"))</f>
        <v/>
      </c>
      <c r="H1481" s="11">
        <f>IF($G1481="正常",ROUND(($F1481-$E1481)*1440,0),"")</f>
        <v/>
      </c>
      <c r="I1481" s="12">
        <f>IF($G1481="正常",$H1481/60,"")</f>
        <v/>
      </c>
      <c r="J1481" s="13">
        <f>IF($G1481="正常",ROUND($H1481/30,0)/2,"")</f>
        <v/>
      </c>
      <c r="K1481" s="13">
        <f>IF($G1481="正常",MIN($J1481,12),"")</f>
        <v/>
      </c>
      <c r="L1481" s="13">
        <f>IF($G1481="正常",MAX($J1481-12,0),"")</f>
        <v/>
      </c>
    </row>
    <row r="1482">
      <c r="A1482" s="8" t="inlineStr">
        <is>
          <t>罗先贵</t>
        </is>
      </c>
      <c r="B1482" s="8" t="inlineStr">
        <is>
          <t>8/24</t>
        </is>
      </c>
      <c r="C1482" s="8" t="inlineStr">
        <is>
          <t>一</t>
        </is>
      </c>
      <c r="D1482" s="8" t="inlineStr"/>
      <c r="E1482" s="9" t="n"/>
      <c r="F1482" s="9" t="n"/>
      <c r="G1482" s="10">
        <f>IF($E1482="","空卡",IF($F1482="","单卡","正常"))</f>
        <v/>
      </c>
      <c r="H1482" s="11">
        <f>IF($G1482="正常",ROUND(($F1482-$E1482)*1440,0),"")</f>
        <v/>
      </c>
      <c r="I1482" s="12">
        <f>IF($G1482="正常",$H1482/60,"")</f>
        <v/>
      </c>
      <c r="J1482" s="13">
        <f>IF($G1482="正常",ROUND($H1482/30,0)/2,"")</f>
        <v/>
      </c>
      <c r="K1482" s="13">
        <f>IF($G1482="正常",MIN($J1482,12),"")</f>
        <v/>
      </c>
      <c r="L1482" s="13">
        <f>IF($G1482="正常",MAX($J1482-12,0),"")</f>
        <v/>
      </c>
    </row>
    <row r="1483">
      <c r="A1483" s="8" t="inlineStr">
        <is>
          <t>罗先贵</t>
        </is>
      </c>
      <c r="B1483" s="8" t="inlineStr">
        <is>
          <t>8/25</t>
        </is>
      </c>
      <c r="C1483" s="8" t="inlineStr">
        <is>
          <t>二</t>
        </is>
      </c>
      <c r="D1483" s="8" t="inlineStr"/>
      <c r="E1483" s="9" t="n"/>
      <c r="F1483" s="9" t="n"/>
      <c r="G1483" s="10">
        <f>IF($E1483="","空卡",IF($F1483="","单卡","正常"))</f>
        <v/>
      </c>
      <c r="H1483" s="11">
        <f>IF($G1483="正常",ROUND(($F1483-$E1483)*1440,0),"")</f>
        <v/>
      </c>
      <c r="I1483" s="12">
        <f>IF($G1483="正常",$H1483/60,"")</f>
        <v/>
      </c>
      <c r="J1483" s="13">
        <f>IF($G1483="正常",ROUND($H1483/30,0)/2,"")</f>
        <v/>
      </c>
      <c r="K1483" s="13">
        <f>IF($G1483="正常",MIN($J1483,12),"")</f>
        <v/>
      </c>
      <c r="L1483" s="13">
        <f>IF($G1483="正常",MAX($J1483-12,0),"")</f>
        <v/>
      </c>
    </row>
    <row r="1484">
      <c r="A1484" s="8" t="inlineStr">
        <is>
          <t>罗先贵</t>
        </is>
      </c>
      <c r="B1484" s="8" t="inlineStr">
        <is>
          <t>8/26</t>
        </is>
      </c>
      <c r="C1484" s="8" t="inlineStr">
        <is>
          <t>三</t>
        </is>
      </c>
      <c r="D1484" s="8" t="inlineStr"/>
      <c r="E1484" s="9" t="n"/>
      <c r="F1484" s="9" t="n"/>
      <c r="G1484" s="10">
        <f>IF($E1484="","空卡",IF($F1484="","单卡","正常"))</f>
        <v/>
      </c>
      <c r="H1484" s="11">
        <f>IF($G1484="正常",ROUND(($F1484-$E1484)*1440,0),"")</f>
        <v/>
      </c>
      <c r="I1484" s="12">
        <f>IF($G1484="正常",$H1484/60,"")</f>
        <v/>
      </c>
      <c r="J1484" s="13">
        <f>IF($G1484="正常",ROUND($H1484/30,0)/2,"")</f>
        <v/>
      </c>
      <c r="K1484" s="13">
        <f>IF($G1484="正常",MIN($J1484,12),"")</f>
        <v/>
      </c>
      <c r="L1484" s="13">
        <f>IF($G1484="正常",MAX($J1484-12,0),"")</f>
        <v/>
      </c>
    </row>
    <row r="1485">
      <c r="A1485" s="8" t="inlineStr">
        <is>
          <t>罗先贵</t>
        </is>
      </c>
      <c r="B1485" s="8" t="inlineStr">
        <is>
          <t>8/27</t>
        </is>
      </c>
      <c r="C1485" s="8" t="inlineStr">
        <is>
          <t>四</t>
        </is>
      </c>
      <c r="D1485" s="8" t="inlineStr"/>
      <c r="E1485" s="9" t="n"/>
      <c r="F1485" s="9" t="n"/>
      <c r="G1485" s="10">
        <f>IF($E1485="","空卡",IF($F1485="","单卡","正常"))</f>
        <v/>
      </c>
      <c r="H1485" s="11">
        <f>IF($G1485="正常",ROUND(($F1485-$E1485)*1440,0),"")</f>
        <v/>
      </c>
      <c r="I1485" s="12">
        <f>IF($G1485="正常",$H1485/60,"")</f>
        <v/>
      </c>
      <c r="J1485" s="13">
        <f>IF($G1485="正常",ROUND($H1485/30,0)/2,"")</f>
        <v/>
      </c>
      <c r="K1485" s="13">
        <f>IF($G1485="正常",MIN($J1485,12),"")</f>
        <v/>
      </c>
      <c r="L1485" s="13">
        <f>IF($G1485="正常",MAX($J1485-12,0),"")</f>
        <v/>
      </c>
    </row>
    <row r="1486">
      <c r="A1486" s="8" t="inlineStr">
        <is>
          <t>罗先贵</t>
        </is>
      </c>
      <c r="B1486" s="8" t="inlineStr">
        <is>
          <t>8/28</t>
        </is>
      </c>
      <c r="C1486" s="8" t="inlineStr">
        <is>
          <t>五</t>
        </is>
      </c>
      <c r="D1486" s="8" t="inlineStr"/>
      <c r="E1486" s="9" t="n"/>
      <c r="F1486" s="9" t="n"/>
      <c r="G1486" s="10">
        <f>IF($E1486="","空卡",IF($F1486="","单卡","正常"))</f>
        <v/>
      </c>
      <c r="H1486" s="11">
        <f>IF($G1486="正常",ROUND(($F1486-$E1486)*1440,0),"")</f>
        <v/>
      </c>
      <c r="I1486" s="12">
        <f>IF($G1486="正常",$H1486/60,"")</f>
        <v/>
      </c>
      <c r="J1486" s="13">
        <f>IF($G1486="正常",ROUND($H1486/30,0)/2,"")</f>
        <v/>
      </c>
      <c r="K1486" s="13">
        <f>IF($G1486="正常",MIN($J1486,12),"")</f>
        <v/>
      </c>
      <c r="L1486" s="13">
        <f>IF($G1486="正常",MAX($J1486-12,0),"")</f>
        <v/>
      </c>
    </row>
    <row r="1487">
      <c r="A1487" s="8" t="inlineStr">
        <is>
          <t>罗先贵</t>
        </is>
      </c>
      <c r="B1487" s="8" t="inlineStr">
        <is>
          <t>8/29</t>
        </is>
      </c>
      <c r="C1487" s="8" t="inlineStr">
        <is>
          <t>六</t>
        </is>
      </c>
      <c r="D1487" s="8" t="inlineStr"/>
      <c r="E1487" s="9" t="n"/>
      <c r="F1487" s="9" t="n"/>
      <c r="G1487" s="10">
        <f>IF($E1487="","空卡",IF($F1487="","单卡","正常"))</f>
        <v/>
      </c>
      <c r="H1487" s="11">
        <f>IF($G1487="正常",ROUND(($F1487-$E1487)*1440,0),"")</f>
        <v/>
      </c>
      <c r="I1487" s="12">
        <f>IF($G1487="正常",$H1487/60,"")</f>
        <v/>
      </c>
      <c r="J1487" s="13">
        <f>IF($G1487="正常",ROUND($H1487/30,0)/2,"")</f>
        <v/>
      </c>
      <c r="K1487" s="13">
        <f>IF($G1487="正常",MIN($J1487,12),"")</f>
        <v/>
      </c>
      <c r="L1487" s="13">
        <f>IF($G1487="正常",MAX($J1487-12,0),"")</f>
        <v/>
      </c>
    </row>
    <row r="1488">
      <c r="A1488" s="8" t="inlineStr">
        <is>
          <t>罗先贵</t>
        </is>
      </c>
      <c r="B1488" s="8" t="inlineStr">
        <is>
          <t>8/30</t>
        </is>
      </c>
      <c r="C1488" s="8" t="inlineStr">
        <is>
          <t>日</t>
        </is>
      </c>
      <c r="D1488" s="8" t="inlineStr"/>
      <c r="E1488" s="9" t="n"/>
      <c r="F1488" s="9" t="n"/>
      <c r="G1488" s="10">
        <f>IF($E1488="","空卡",IF($F1488="","单卡","正常"))</f>
        <v/>
      </c>
      <c r="H1488" s="11">
        <f>IF($G1488="正常",ROUND(($F1488-$E1488)*1440,0),"")</f>
        <v/>
      </c>
      <c r="I1488" s="12">
        <f>IF($G1488="正常",$H1488/60,"")</f>
        <v/>
      </c>
      <c r="J1488" s="13">
        <f>IF($G1488="正常",ROUND($H1488/30,0)/2,"")</f>
        <v/>
      </c>
      <c r="K1488" s="13">
        <f>IF($G1488="正常",MIN($J1488,12),"")</f>
        <v/>
      </c>
      <c r="L1488" s="13">
        <f>IF($G1488="正常",MAX($J1488-12,0),"")</f>
        <v/>
      </c>
    </row>
    <row r="1489">
      <c r="A1489" s="8" t="inlineStr">
        <is>
          <t>罗先贵</t>
        </is>
      </c>
      <c r="B1489" s="8" t="inlineStr">
        <is>
          <t>8/31</t>
        </is>
      </c>
      <c r="C1489" s="8" t="inlineStr">
        <is>
          <t>一</t>
        </is>
      </c>
      <c r="D1489" s="8" t="inlineStr"/>
      <c r="E1489" s="9" t="n"/>
      <c r="F1489" s="9" t="n"/>
      <c r="G1489" s="10">
        <f>IF($E1489="","空卡",IF($F1489="","单卡","正常"))</f>
        <v/>
      </c>
      <c r="H1489" s="11">
        <f>IF($G1489="正常",ROUND(($F1489-$E1489)*1440,0),"")</f>
        <v/>
      </c>
      <c r="I1489" s="12">
        <f>IF($G1489="正常",$H1489/60,"")</f>
        <v/>
      </c>
      <c r="J1489" s="13">
        <f>IF($G1489="正常",ROUND($H1489/30,0)/2,"")</f>
        <v/>
      </c>
      <c r="K1489" s="13">
        <f>IF($G1489="正常",MIN($J1489,12),"")</f>
        <v/>
      </c>
      <c r="L1489" s="13">
        <f>IF($G1489="正常",MAX($J1489-12,0),"")</f>
        <v/>
      </c>
    </row>
    <row r="1490">
      <c r="A1490" s="8" t="inlineStr">
        <is>
          <t>张祖群</t>
        </is>
      </c>
      <c r="B1490" s="8" t="inlineStr">
        <is>
          <t>8/1</t>
        </is>
      </c>
      <c r="C1490" s="8" t="inlineStr">
        <is>
          <t>六</t>
        </is>
      </c>
      <c r="D1490" s="8" t="inlineStr"/>
      <c r="E1490" s="9" t="n"/>
      <c r="F1490" s="9" t="n"/>
      <c r="G1490" s="10">
        <f>IF($E1490="","空卡",IF($F1490="","单卡","正常"))</f>
        <v/>
      </c>
      <c r="H1490" s="11">
        <f>IF($G1490="正常",ROUND(($F1490-$E1490)*1440,0),"")</f>
        <v/>
      </c>
      <c r="I1490" s="12">
        <f>IF($G1490="正常",$H1490/60,"")</f>
        <v/>
      </c>
      <c r="J1490" s="13">
        <f>IF($G1490="正常",ROUND($H1490/30,0)/2,"")</f>
        <v/>
      </c>
      <c r="K1490" s="13">
        <f>IF($G1490="正常",MIN($J1490,12),"")</f>
        <v/>
      </c>
      <c r="L1490" s="13">
        <f>IF($G1490="正常",MAX($J1490-12,0),"")</f>
        <v/>
      </c>
    </row>
    <row r="1491">
      <c r="A1491" s="8" t="inlineStr">
        <is>
          <t>张祖群</t>
        </is>
      </c>
      <c r="B1491" s="8" t="inlineStr">
        <is>
          <t>8/2</t>
        </is>
      </c>
      <c r="C1491" s="8" t="inlineStr">
        <is>
          <t>日</t>
        </is>
      </c>
      <c r="D1491" s="8" t="inlineStr"/>
      <c r="E1491" s="9" t="n"/>
      <c r="F1491" s="9" t="n"/>
      <c r="G1491" s="10">
        <f>IF($E1491="","空卡",IF($F1491="","单卡","正常"))</f>
        <v/>
      </c>
      <c r="H1491" s="11">
        <f>IF($G1491="正常",ROUND(($F1491-$E1491)*1440,0),"")</f>
        <v/>
      </c>
      <c r="I1491" s="12">
        <f>IF($G1491="正常",$H1491/60,"")</f>
        <v/>
      </c>
      <c r="J1491" s="13">
        <f>IF($G1491="正常",ROUND($H1491/30,0)/2,"")</f>
        <v/>
      </c>
      <c r="K1491" s="13">
        <f>IF($G1491="正常",MIN($J1491,12),"")</f>
        <v/>
      </c>
      <c r="L1491" s="13">
        <f>IF($G1491="正常",MAX($J1491-12,0),"")</f>
        <v/>
      </c>
    </row>
    <row r="1492">
      <c r="A1492" s="8" t="inlineStr">
        <is>
          <t>张祖群</t>
        </is>
      </c>
      <c r="B1492" s="8" t="inlineStr">
        <is>
          <t>8/3</t>
        </is>
      </c>
      <c r="C1492" s="8" t="inlineStr">
        <is>
          <t>一</t>
        </is>
      </c>
      <c r="D1492" s="8" t="inlineStr"/>
      <c r="E1492" s="9" t="n"/>
      <c r="F1492" s="9" t="n"/>
      <c r="G1492" s="10">
        <f>IF($E1492="","空卡",IF($F1492="","单卡","正常"))</f>
        <v/>
      </c>
      <c r="H1492" s="11">
        <f>IF($G1492="正常",ROUND(($F1492-$E1492)*1440,0),"")</f>
        <v/>
      </c>
      <c r="I1492" s="12">
        <f>IF($G1492="正常",$H1492/60,"")</f>
        <v/>
      </c>
      <c r="J1492" s="13">
        <f>IF($G1492="正常",ROUND($H1492/30,0)/2,"")</f>
        <v/>
      </c>
      <c r="K1492" s="13">
        <f>IF($G1492="正常",MIN($J1492,12),"")</f>
        <v/>
      </c>
      <c r="L1492" s="13">
        <f>IF($G1492="正常",MAX($J1492-12,0),"")</f>
        <v/>
      </c>
    </row>
    <row r="1493">
      <c r="A1493" s="8" t="inlineStr">
        <is>
          <t>张祖群</t>
        </is>
      </c>
      <c r="B1493" s="8" t="inlineStr">
        <is>
          <t>8/4</t>
        </is>
      </c>
      <c r="C1493" s="8" t="inlineStr">
        <is>
          <t>二</t>
        </is>
      </c>
      <c r="D1493" s="8" t="inlineStr"/>
      <c r="E1493" s="9" t="n"/>
      <c r="F1493" s="9" t="n"/>
      <c r="G1493" s="10">
        <f>IF($E1493="","空卡",IF($F1493="","单卡","正常"))</f>
        <v/>
      </c>
      <c r="H1493" s="11">
        <f>IF($G1493="正常",ROUND(($F1493-$E1493)*1440,0),"")</f>
        <v/>
      </c>
      <c r="I1493" s="12">
        <f>IF($G1493="正常",$H1493/60,"")</f>
        <v/>
      </c>
      <c r="J1493" s="13">
        <f>IF($G1493="正常",ROUND($H1493/30,0)/2,"")</f>
        <v/>
      </c>
      <c r="K1493" s="13">
        <f>IF($G1493="正常",MIN($J1493,12),"")</f>
        <v/>
      </c>
      <c r="L1493" s="13">
        <f>IF($G1493="正常",MAX($J1493-12,0),"")</f>
        <v/>
      </c>
    </row>
    <row r="1494">
      <c r="A1494" s="8" t="inlineStr">
        <is>
          <t>张祖群</t>
        </is>
      </c>
      <c r="B1494" s="8" t="inlineStr">
        <is>
          <t>8/5</t>
        </is>
      </c>
      <c r="C1494" s="8" t="inlineStr">
        <is>
          <t>三</t>
        </is>
      </c>
      <c r="D1494" s="8" t="inlineStr"/>
      <c r="E1494" s="9" t="n"/>
      <c r="F1494" s="9" t="n"/>
      <c r="G1494" s="10">
        <f>IF($E1494="","空卡",IF($F1494="","单卡","正常"))</f>
        <v/>
      </c>
      <c r="H1494" s="11">
        <f>IF($G1494="正常",ROUND(($F1494-$E1494)*1440,0),"")</f>
        <v/>
      </c>
      <c r="I1494" s="12">
        <f>IF($G1494="正常",$H1494/60,"")</f>
        <v/>
      </c>
      <c r="J1494" s="13">
        <f>IF($G1494="正常",ROUND($H1494/30,0)/2,"")</f>
        <v/>
      </c>
      <c r="K1494" s="13">
        <f>IF($G1494="正常",MIN($J1494,12),"")</f>
        <v/>
      </c>
      <c r="L1494" s="13">
        <f>IF($G1494="正常",MAX($J1494-12,0),"")</f>
        <v/>
      </c>
    </row>
    <row r="1495">
      <c r="A1495" s="8" t="inlineStr">
        <is>
          <t>张祖群</t>
        </is>
      </c>
      <c r="B1495" s="8" t="inlineStr">
        <is>
          <t>8/6</t>
        </is>
      </c>
      <c r="C1495" s="8" t="inlineStr">
        <is>
          <t>四</t>
        </is>
      </c>
      <c r="D1495" s="8" t="inlineStr"/>
      <c r="E1495" s="9" t="n"/>
      <c r="F1495" s="9" t="n"/>
      <c r="G1495" s="10">
        <f>IF($E1495="","空卡",IF($F1495="","单卡","正常"))</f>
        <v/>
      </c>
      <c r="H1495" s="11">
        <f>IF($G1495="正常",ROUND(($F1495-$E1495)*1440,0),"")</f>
        <v/>
      </c>
      <c r="I1495" s="12">
        <f>IF($G1495="正常",$H1495/60,"")</f>
        <v/>
      </c>
      <c r="J1495" s="13">
        <f>IF($G1495="正常",ROUND($H1495/30,0)/2,"")</f>
        <v/>
      </c>
      <c r="K1495" s="13">
        <f>IF($G1495="正常",MIN($J1495,12),"")</f>
        <v/>
      </c>
      <c r="L1495" s="13">
        <f>IF($G1495="正常",MAX($J1495-12,0),"")</f>
        <v/>
      </c>
    </row>
    <row r="1496">
      <c r="A1496" s="8" t="inlineStr">
        <is>
          <t>张祖群</t>
        </is>
      </c>
      <c r="B1496" s="8" t="inlineStr">
        <is>
          <t>8/7</t>
        </is>
      </c>
      <c r="C1496" s="8" t="inlineStr">
        <is>
          <t>五</t>
        </is>
      </c>
      <c r="D1496" s="8" t="inlineStr"/>
      <c r="E1496" s="9" t="n"/>
      <c r="F1496" s="9" t="n"/>
      <c r="G1496" s="10">
        <f>IF($E1496="","空卡",IF($F1496="","单卡","正常"))</f>
        <v/>
      </c>
      <c r="H1496" s="11">
        <f>IF($G1496="正常",ROUND(($F1496-$E1496)*1440,0),"")</f>
        <v/>
      </c>
      <c r="I1496" s="12">
        <f>IF($G1496="正常",$H1496/60,"")</f>
        <v/>
      </c>
      <c r="J1496" s="13">
        <f>IF($G1496="正常",ROUND($H1496/30,0)/2,"")</f>
        <v/>
      </c>
      <c r="K1496" s="13">
        <f>IF($G1496="正常",MIN($J1496,12),"")</f>
        <v/>
      </c>
      <c r="L1496" s="13">
        <f>IF($G1496="正常",MAX($J1496-12,0),"")</f>
        <v/>
      </c>
    </row>
    <row r="1497">
      <c r="A1497" s="3" t="inlineStr">
        <is>
          <t>张祖群</t>
        </is>
      </c>
      <c r="B1497" s="3" t="inlineStr">
        <is>
          <t>8/8</t>
        </is>
      </c>
      <c r="C1497" s="3" t="inlineStr">
        <is>
          <t>六</t>
        </is>
      </c>
      <c r="D1497" s="3" t="inlineStr">
        <is>
          <t>08:21 19:38</t>
        </is>
      </c>
      <c r="E1497" s="4" t="n">
        <v>0.3479166666666667</v>
      </c>
      <c r="F1497" s="4" t="n">
        <v>0.8180555555555555</v>
      </c>
      <c r="G1497" s="3">
        <f>IF($E1497="","空卡",IF($F1497="","单卡","正常"))</f>
        <v/>
      </c>
      <c r="H1497" s="5">
        <f>IF($G1497="正常",ROUND(($F1497-$E1497)*1440,0),"")</f>
        <v/>
      </c>
      <c r="I1497" s="6">
        <f>IF($G1497="正常",$H1497/60,"")</f>
        <v/>
      </c>
      <c r="J1497" s="7">
        <f>IF($G1497="正常",ROUND($H1497/30,0)/2,"")</f>
        <v/>
      </c>
      <c r="K1497" s="7">
        <f>IF($G1497="正常",MIN($J1497,12),"")</f>
        <v/>
      </c>
      <c r="L1497" s="7">
        <f>IF($G1497="正常",MAX($J1497-12,0),"")</f>
        <v/>
      </c>
    </row>
    <row r="1498">
      <c r="A1498" s="8" t="inlineStr">
        <is>
          <t>张祖群</t>
        </is>
      </c>
      <c r="B1498" s="8" t="inlineStr">
        <is>
          <t>8/9</t>
        </is>
      </c>
      <c r="C1498" s="8" t="inlineStr">
        <is>
          <t>日</t>
        </is>
      </c>
      <c r="D1498" s="8" t="inlineStr"/>
      <c r="E1498" s="9" t="n"/>
      <c r="F1498" s="9" t="n"/>
      <c r="G1498" s="10">
        <f>IF($E1498="","空卡",IF($F1498="","单卡","正常"))</f>
        <v/>
      </c>
      <c r="H1498" s="11">
        <f>IF($G1498="正常",ROUND(($F1498-$E1498)*1440,0),"")</f>
        <v/>
      </c>
      <c r="I1498" s="12">
        <f>IF($G1498="正常",$H1498/60,"")</f>
        <v/>
      </c>
      <c r="J1498" s="13">
        <f>IF($G1498="正常",ROUND($H1498/30,0)/2,"")</f>
        <v/>
      </c>
      <c r="K1498" s="13">
        <f>IF($G1498="正常",MIN($J1498,12),"")</f>
        <v/>
      </c>
      <c r="L1498" s="13">
        <f>IF($G1498="正常",MAX($J1498-12,0),"")</f>
        <v/>
      </c>
    </row>
    <row r="1499">
      <c r="A1499" s="3" t="inlineStr">
        <is>
          <t>张祖群</t>
        </is>
      </c>
      <c r="B1499" s="3" t="inlineStr">
        <is>
          <t>8/10</t>
        </is>
      </c>
      <c r="C1499" s="3" t="inlineStr">
        <is>
          <t>一</t>
        </is>
      </c>
      <c r="D1499" s="3" t="inlineStr">
        <is>
          <t>08:23 19:56</t>
        </is>
      </c>
      <c r="E1499" s="4" t="n">
        <v>0.3493055555555555</v>
      </c>
      <c r="F1499" s="4" t="n">
        <v>0.8305555555555556</v>
      </c>
      <c r="G1499" s="3">
        <f>IF($E1499="","空卡",IF($F1499="","单卡","正常"))</f>
        <v/>
      </c>
      <c r="H1499" s="5">
        <f>IF($G1499="正常",ROUND(($F1499-$E1499)*1440,0),"")</f>
        <v/>
      </c>
      <c r="I1499" s="6">
        <f>IF($G1499="正常",$H1499/60,"")</f>
        <v/>
      </c>
      <c r="J1499" s="7">
        <f>IF($G1499="正常",ROUND($H1499/30,0)/2,"")</f>
        <v/>
      </c>
      <c r="K1499" s="7">
        <f>IF($G1499="正常",MIN($J1499,12),"")</f>
        <v/>
      </c>
      <c r="L1499" s="7">
        <f>IF($G1499="正常",MAX($J1499-12,0),"")</f>
        <v/>
      </c>
    </row>
    <row r="1500">
      <c r="A1500" s="3" t="inlineStr">
        <is>
          <t>张祖群</t>
        </is>
      </c>
      <c r="B1500" s="3" t="inlineStr">
        <is>
          <t>8/11</t>
        </is>
      </c>
      <c r="C1500" s="3" t="inlineStr">
        <is>
          <t>二</t>
        </is>
      </c>
      <c r="D1500" s="3" t="inlineStr">
        <is>
          <t>08:22 18:58</t>
        </is>
      </c>
      <c r="E1500" s="4" t="n">
        <v>0.3486111111111111</v>
      </c>
      <c r="F1500" s="4" t="n">
        <v>0.7902777777777777</v>
      </c>
      <c r="G1500" s="3">
        <f>IF($E1500="","空卡",IF($F1500="","单卡","正常"))</f>
        <v/>
      </c>
      <c r="H1500" s="5">
        <f>IF($G1500="正常",ROUND(($F1500-$E1500)*1440,0),"")</f>
        <v/>
      </c>
      <c r="I1500" s="6">
        <f>IF($G1500="正常",$H1500/60,"")</f>
        <v/>
      </c>
      <c r="J1500" s="7">
        <f>IF($G1500="正常",ROUND($H1500/30,0)/2,"")</f>
        <v/>
      </c>
      <c r="K1500" s="7">
        <f>IF($G1500="正常",MIN($J1500,12),"")</f>
        <v/>
      </c>
      <c r="L1500" s="7">
        <f>IF($G1500="正常",MAX($J1500-12,0),"")</f>
        <v/>
      </c>
    </row>
    <row r="1501">
      <c r="A1501" s="3" t="inlineStr">
        <is>
          <t>张祖群</t>
        </is>
      </c>
      <c r="B1501" s="3" t="inlineStr">
        <is>
          <t>8/12</t>
        </is>
      </c>
      <c r="C1501" s="3" t="inlineStr">
        <is>
          <t>三</t>
        </is>
      </c>
      <c r="D1501" s="3" t="inlineStr">
        <is>
          <t>09:54 18:36</t>
        </is>
      </c>
      <c r="E1501" s="4" t="n">
        <v>0.4125</v>
      </c>
      <c r="F1501" s="4" t="n">
        <v>0.775</v>
      </c>
      <c r="G1501" s="3">
        <f>IF($E1501="","空卡",IF($F1501="","单卡","正常"))</f>
        <v/>
      </c>
      <c r="H1501" s="5">
        <f>IF($G1501="正常",ROUND(($F1501-$E1501)*1440,0),"")</f>
        <v/>
      </c>
      <c r="I1501" s="6">
        <f>IF($G1501="正常",$H1501/60,"")</f>
        <v/>
      </c>
      <c r="J1501" s="7">
        <f>IF($G1501="正常",ROUND($H1501/30,0)/2,"")</f>
        <v/>
      </c>
      <c r="K1501" s="7">
        <f>IF($G1501="正常",MIN($J1501,12),"")</f>
        <v/>
      </c>
      <c r="L1501" s="7">
        <f>IF($G1501="正常",MAX($J1501-12,0),"")</f>
        <v/>
      </c>
    </row>
    <row r="1502">
      <c r="A1502" s="3" t="inlineStr">
        <is>
          <t>张祖群</t>
        </is>
      </c>
      <c r="B1502" s="3" t="inlineStr">
        <is>
          <t>8/13</t>
        </is>
      </c>
      <c r="C1502" s="3" t="inlineStr">
        <is>
          <t>四</t>
        </is>
      </c>
      <c r="D1502" s="3" t="inlineStr">
        <is>
          <t>09:57 19:57</t>
        </is>
      </c>
      <c r="E1502" s="4" t="n">
        <v>0.4145833333333334</v>
      </c>
      <c r="F1502" s="4" t="n">
        <v>0.83125</v>
      </c>
      <c r="G1502" s="3">
        <f>IF($E1502="","空卡",IF($F1502="","单卡","正常"))</f>
        <v/>
      </c>
      <c r="H1502" s="5">
        <f>IF($G1502="正常",ROUND(($F1502-$E1502)*1440,0),"")</f>
        <v/>
      </c>
      <c r="I1502" s="6">
        <f>IF($G1502="正常",$H1502/60,"")</f>
        <v/>
      </c>
      <c r="J1502" s="7">
        <f>IF($G1502="正常",ROUND($H1502/30,0)/2,"")</f>
        <v/>
      </c>
      <c r="K1502" s="7">
        <f>IF($G1502="正常",MIN($J1502,12),"")</f>
        <v/>
      </c>
      <c r="L1502" s="7">
        <f>IF($G1502="正常",MAX($J1502-12,0),"")</f>
        <v/>
      </c>
    </row>
    <row r="1503">
      <c r="A1503" s="3" t="inlineStr">
        <is>
          <t>张祖群</t>
        </is>
      </c>
      <c r="B1503" s="3" t="inlineStr">
        <is>
          <t>8/14</t>
        </is>
      </c>
      <c r="C1503" s="3" t="inlineStr">
        <is>
          <t>五</t>
        </is>
      </c>
      <c r="D1503" s="3" t="inlineStr">
        <is>
          <t>06:53 20:00</t>
        </is>
      </c>
      <c r="E1503" s="4" t="n">
        <v>0.2868055555555555</v>
      </c>
      <c r="F1503" s="4" t="n">
        <v>0.8333333333333334</v>
      </c>
      <c r="G1503" s="3">
        <f>IF($E1503="","空卡",IF($F1503="","单卡","正常"))</f>
        <v/>
      </c>
      <c r="H1503" s="5">
        <f>IF($G1503="正常",ROUND(($F1503-$E1503)*1440,0),"")</f>
        <v/>
      </c>
      <c r="I1503" s="6">
        <f>IF($G1503="正常",$H1503/60,"")</f>
        <v/>
      </c>
      <c r="J1503" s="7">
        <f>IF($G1503="正常",ROUND($H1503/30,0)/2,"")</f>
        <v/>
      </c>
      <c r="K1503" s="7">
        <f>IF($G1503="正常",MIN($J1503,12),"")</f>
        <v/>
      </c>
      <c r="L1503" s="7">
        <f>IF($G1503="正常",MAX($J1503-12,0),"")</f>
        <v/>
      </c>
    </row>
    <row r="1504">
      <c r="A1504" s="3" t="inlineStr">
        <is>
          <t>张祖群</t>
        </is>
      </c>
      <c r="B1504" s="3" t="inlineStr">
        <is>
          <t>8/15</t>
        </is>
      </c>
      <c r="C1504" s="3" t="inlineStr">
        <is>
          <t>六</t>
        </is>
      </c>
      <c r="D1504" s="3" t="inlineStr">
        <is>
          <t>06:56 19:12</t>
        </is>
      </c>
      <c r="E1504" s="4" t="n">
        <v>0.2888888888888889</v>
      </c>
      <c r="F1504" s="4" t="n">
        <v>0.8</v>
      </c>
      <c r="G1504" s="3">
        <f>IF($E1504="","空卡",IF($F1504="","单卡","正常"))</f>
        <v/>
      </c>
      <c r="H1504" s="5">
        <f>IF($G1504="正常",ROUND(($F1504-$E1504)*1440,0),"")</f>
        <v/>
      </c>
      <c r="I1504" s="6">
        <f>IF($G1504="正常",$H1504/60,"")</f>
        <v/>
      </c>
      <c r="J1504" s="7">
        <f>IF($G1504="正常",ROUND($H1504/30,0)/2,"")</f>
        <v/>
      </c>
      <c r="K1504" s="7">
        <f>IF($G1504="正常",MIN($J1504,12),"")</f>
        <v/>
      </c>
      <c r="L1504" s="7">
        <f>IF($G1504="正常",MAX($J1504-12,0),"")</f>
        <v/>
      </c>
    </row>
    <row r="1505">
      <c r="A1505" s="8" t="inlineStr">
        <is>
          <t>张祖群</t>
        </is>
      </c>
      <c r="B1505" s="8" t="inlineStr">
        <is>
          <t>8/16</t>
        </is>
      </c>
      <c r="C1505" s="8" t="inlineStr">
        <is>
          <t>日</t>
        </is>
      </c>
      <c r="D1505" s="8" t="inlineStr"/>
      <c r="E1505" s="9" t="n"/>
      <c r="F1505" s="9" t="n"/>
      <c r="G1505" s="10">
        <f>IF($E1505="","空卡",IF($F1505="","单卡","正常"))</f>
        <v/>
      </c>
      <c r="H1505" s="11">
        <f>IF($G1505="正常",ROUND(($F1505-$E1505)*1440,0),"")</f>
        <v/>
      </c>
      <c r="I1505" s="12">
        <f>IF($G1505="正常",$H1505/60,"")</f>
        <v/>
      </c>
      <c r="J1505" s="13">
        <f>IF($G1505="正常",ROUND($H1505/30,0)/2,"")</f>
        <v/>
      </c>
      <c r="K1505" s="13">
        <f>IF($G1505="正常",MIN($J1505,12),"")</f>
        <v/>
      </c>
      <c r="L1505" s="13">
        <f>IF($G1505="正常",MAX($J1505-12,0),"")</f>
        <v/>
      </c>
    </row>
    <row r="1506">
      <c r="A1506" s="3" t="inlineStr">
        <is>
          <t>张祖群</t>
        </is>
      </c>
      <c r="B1506" s="3" t="inlineStr">
        <is>
          <t>8/17</t>
        </is>
      </c>
      <c r="C1506" s="3" t="inlineStr">
        <is>
          <t>一</t>
        </is>
      </c>
      <c r="D1506" s="3" t="inlineStr">
        <is>
          <t>07:56 19:57</t>
        </is>
      </c>
      <c r="E1506" s="4" t="n">
        <v>0.3305555555555555</v>
      </c>
      <c r="F1506" s="4" t="n">
        <v>0.83125</v>
      </c>
      <c r="G1506" s="3">
        <f>IF($E1506="","空卡",IF($F1506="","单卡","正常"))</f>
        <v/>
      </c>
      <c r="H1506" s="5">
        <f>IF($G1506="正常",ROUND(($F1506-$E1506)*1440,0),"")</f>
        <v/>
      </c>
      <c r="I1506" s="6">
        <f>IF($G1506="正常",$H1506/60,"")</f>
        <v/>
      </c>
      <c r="J1506" s="7">
        <f>IF($G1506="正常",ROUND($H1506/30,0)/2,"")</f>
        <v/>
      </c>
      <c r="K1506" s="7">
        <f>IF($G1506="正常",MIN($J1506,12),"")</f>
        <v/>
      </c>
      <c r="L1506" s="7">
        <f>IF($G1506="正常",MAX($J1506-12,0),"")</f>
        <v/>
      </c>
    </row>
    <row r="1507">
      <c r="A1507" s="3" t="inlineStr">
        <is>
          <t>张祖群</t>
        </is>
      </c>
      <c r="B1507" s="3" t="inlineStr">
        <is>
          <t>8/18</t>
        </is>
      </c>
      <c r="C1507" s="3" t="inlineStr">
        <is>
          <t>二</t>
        </is>
      </c>
      <c r="D1507" s="3" t="inlineStr">
        <is>
          <t>07:55 18:56</t>
        </is>
      </c>
      <c r="E1507" s="4" t="n">
        <v>0.3298611111111111</v>
      </c>
      <c r="F1507" s="4" t="n">
        <v>0.7888888888888889</v>
      </c>
      <c r="G1507" s="3">
        <f>IF($E1507="","空卡",IF($F1507="","单卡","正常"))</f>
        <v/>
      </c>
      <c r="H1507" s="5">
        <f>IF($G1507="正常",ROUND(($F1507-$E1507)*1440,0),"")</f>
        <v/>
      </c>
      <c r="I1507" s="6">
        <f>IF($G1507="正常",$H1507/60,"")</f>
        <v/>
      </c>
      <c r="J1507" s="7">
        <f>IF($G1507="正常",ROUND($H1507/30,0)/2,"")</f>
        <v/>
      </c>
      <c r="K1507" s="7">
        <f>IF($G1507="正常",MIN($J1507,12),"")</f>
        <v/>
      </c>
      <c r="L1507" s="7">
        <f>IF($G1507="正常",MAX($J1507-12,0),"")</f>
        <v/>
      </c>
    </row>
    <row r="1508">
      <c r="A1508" s="3" t="inlineStr">
        <is>
          <t>张祖群</t>
        </is>
      </c>
      <c r="B1508" s="3" t="inlineStr">
        <is>
          <t>8/19</t>
        </is>
      </c>
      <c r="C1508" s="3" t="inlineStr">
        <is>
          <t>三</t>
        </is>
      </c>
      <c r="D1508" s="3" t="inlineStr">
        <is>
          <t>08:56 20:30</t>
        </is>
      </c>
      <c r="E1508" s="4" t="n">
        <v>0.3722222222222222</v>
      </c>
      <c r="F1508" s="4" t="n">
        <v>0.8541666666666666</v>
      </c>
      <c r="G1508" s="3">
        <f>IF($E1508="","空卡",IF($F1508="","单卡","正常"))</f>
        <v/>
      </c>
      <c r="H1508" s="5">
        <f>IF($G1508="正常",ROUND(($F1508-$E1508)*1440,0),"")</f>
        <v/>
      </c>
      <c r="I1508" s="6">
        <f>IF($G1508="正常",$H1508/60,"")</f>
        <v/>
      </c>
      <c r="J1508" s="7">
        <f>IF($G1508="正常",ROUND($H1508/30,0)/2,"")</f>
        <v/>
      </c>
      <c r="K1508" s="7">
        <f>IF($G1508="正常",MIN($J1508,12),"")</f>
        <v/>
      </c>
      <c r="L1508" s="7">
        <f>IF($G1508="正常",MAX($J1508-12,0),"")</f>
        <v/>
      </c>
    </row>
    <row r="1509">
      <c r="A1509" s="8" t="inlineStr">
        <is>
          <t>张祖群</t>
        </is>
      </c>
      <c r="B1509" s="8" t="inlineStr">
        <is>
          <t>8/20</t>
        </is>
      </c>
      <c r="C1509" s="8" t="inlineStr">
        <is>
          <t>四</t>
        </is>
      </c>
      <c r="D1509" s="8" t="inlineStr"/>
      <c r="E1509" s="9" t="n"/>
      <c r="F1509" s="9" t="n"/>
      <c r="G1509" s="10">
        <f>IF($E1509="","空卡",IF($F1509="","单卡","正常"))</f>
        <v/>
      </c>
      <c r="H1509" s="11">
        <f>IF($G1509="正常",ROUND(($F1509-$E1509)*1440,0),"")</f>
        <v/>
      </c>
      <c r="I1509" s="12">
        <f>IF($G1509="正常",$H1509/60,"")</f>
        <v/>
      </c>
      <c r="J1509" s="13">
        <f>IF($G1509="正常",ROUND($H1509/30,0)/2,"")</f>
        <v/>
      </c>
      <c r="K1509" s="13">
        <f>IF($G1509="正常",MIN($J1509,12),"")</f>
        <v/>
      </c>
      <c r="L1509" s="13">
        <f>IF($G1509="正常",MAX($J1509-12,0),"")</f>
        <v/>
      </c>
    </row>
    <row r="1510">
      <c r="A1510" s="3" t="inlineStr">
        <is>
          <t>张祖群</t>
        </is>
      </c>
      <c r="B1510" s="3" t="inlineStr">
        <is>
          <t>8/21</t>
        </is>
      </c>
      <c r="C1510" s="3" t="inlineStr">
        <is>
          <t>五</t>
        </is>
      </c>
      <c r="D1510" s="3" t="inlineStr">
        <is>
          <t>06:55 19:03</t>
        </is>
      </c>
      <c r="E1510" s="4" t="n">
        <v>0.2881944444444444</v>
      </c>
      <c r="F1510" s="4" t="n">
        <v>0.79375</v>
      </c>
      <c r="G1510" s="3">
        <f>IF($E1510="","空卡",IF($F1510="","单卡","正常"))</f>
        <v/>
      </c>
      <c r="H1510" s="5">
        <f>IF($G1510="正常",ROUND(($F1510-$E1510)*1440,0),"")</f>
        <v/>
      </c>
      <c r="I1510" s="6">
        <f>IF($G1510="正常",$H1510/60,"")</f>
        <v/>
      </c>
      <c r="J1510" s="7">
        <f>IF($G1510="正常",ROUND($H1510/30,0)/2,"")</f>
        <v/>
      </c>
      <c r="K1510" s="7">
        <f>IF($G1510="正常",MIN($J1510,12),"")</f>
        <v/>
      </c>
      <c r="L1510" s="7">
        <f>IF($G1510="正常",MAX($J1510-12,0),"")</f>
        <v/>
      </c>
    </row>
    <row r="1511">
      <c r="A1511" s="3" t="inlineStr">
        <is>
          <t>张祖群</t>
        </is>
      </c>
      <c r="B1511" s="3" t="inlineStr">
        <is>
          <t>8/22</t>
        </is>
      </c>
      <c r="C1511" s="3" t="inlineStr">
        <is>
          <t>六</t>
        </is>
      </c>
      <c r="D1511" s="3" t="inlineStr">
        <is>
          <t>06:56 18:31</t>
        </is>
      </c>
      <c r="E1511" s="4" t="n">
        <v>0.2888888888888889</v>
      </c>
      <c r="F1511" s="4" t="n">
        <v>0.7715277777777778</v>
      </c>
      <c r="G1511" s="3">
        <f>IF($E1511="","空卡",IF($F1511="","单卡","正常"))</f>
        <v/>
      </c>
      <c r="H1511" s="5">
        <f>IF($G1511="正常",ROUND(($F1511-$E1511)*1440,0),"")</f>
        <v/>
      </c>
      <c r="I1511" s="6">
        <f>IF($G1511="正常",$H1511/60,"")</f>
        <v/>
      </c>
      <c r="J1511" s="7">
        <f>IF($G1511="正常",ROUND($H1511/30,0)/2,"")</f>
        <v/>
      </c>
      <c r="K1511" s="7">
        <f>IF($G1511="正常",MIN($J1511,12),"")</f>
        <v/>
      </c>
      <c r="L1511" s="7">
        <f>IF($G1511="正常",MAX($J1511-12,0),"")</f>
        <v/>
      </c>
    </row>
    <row r="1512">
      <c r="A1512" s="8" t="inlineStr">
        <is>
          <t>张祖群</t>
        </is>
      </c>
      <c r="B1512" s="8" t="inlineStr">
        <is>
          <t>8/23</t>
        </is>
      </c>
      <c r="C1512" s="8" t="inlineStr">
        <is>
          <t>日</t>
        </is>
      </c>
      <c r="D1512" s="8" t="inlineStr"/>
      <c r="E1512" s="9" t="n"/>
      <c r="F1512" s="9" t="n"/>
      <c r="G1512" s="10">
        <f>IF($E1512="","空卡",IF($F1512="","单卡","正常"))</f>
        <v/>
      </c>
      <c r="H1512" s="11">
        <f>IF($G1512="正常",ROUND(($F1512-$E1512)*1440,0),"")</f>
        <v/>
      </c>
      <c r="I1512" s="12">
        <f>IF($G1512="正常",$H1512/60,"")</f>
        <v/>
      </c>
      <c r="J1512" s="13">
        <f>IF($G1512="正常",ROUND($H1512/30,0)/2,"")</f>
        <v/>
      </c>
      <c r="K1512" s="13">
        <f>IF($G1512="正常",MIN($J1512,12),"")</f>
        <v/>
      </c>
      <c r="L1512" s="13">
        <f>IF($G1512="正常",MAX($J1512-12,0),"")</f>
        <v/>
      </c>
    </row>
    <row r="1513">
      <c r="A1513" s="3" t="inlineStr">
        <is>
          <t>张祖群</t>
        </is>
      </c>
      <c r="B1513" s="3" t="inlineStr">
        <is>
          <t>8/24</t>
        </is>
      </c>
      <c r="C1513" s="3" t="inlineStr">
        <is>
          <t>一</t>
        </is>
      </c>
      <c r="D1513" s="3" t="inlineStr">
        <is>
          <t>06:57 16:37</t>
        </is>
      </c>
      <c r="E1513" s="4" t="n">
        <v>0.2895833333333334</v>
      </c>
      <c r="F1513" s="4" t="n">
        <v>0.6923611111111111</v>
      </c>
      <c r="G1513" s="3">
        <f>IF($E1513="","空卡",IF($F1513="","单卡","正常"))</f>
        <v/>
      </c>
      <c r="H1513" s="5">
        <f>IF($G1513="正常",ROUND(($F1513-$E1513)*1440,0),"")</f>
        <v/>
      </c>
      <c r="I1513" s="6">
        <f>IF($G1513="正常",$H1513/60,"")</f>
        <v/>
      </c>
      <c r="J1513" s="7">
        <f>IF($G1513="正常",ROUND($H1513/30,0)/2,"")</f>
        <v/>
      </c>
      <c r="K1513" s="7">
        <f>IF($G1513="正常",MIN($J1513,12),"")</f>
        <v/>
      </c>
      <c r="L1513" s="7">
        <f>IF($G1513="正常",MAX($J1513-12,0),"")</f>
        <v/>
      </c>
    </row>
    <row r="1514">
      <c r="A1514" s="3" t="inlineStr">
        <is>
          <t>张祖群</t>
        </is>
      </c>
      <c r="B1514" s="3" t="inlineStr">
        <is>
          <t>8/25</t>
        </is>
      </c>
      <c r="C1514" s="3" t="inlineStr">
        <is>
          <t>二</t>
        </is>
      </c>
      <c r="D1514" s="3" t="inlineStr">
        <is>
          <t>08:34 18:37</t>
        </is>
      </c>
      <c r="E1514" s="4" t="n">
        <v>0.3569444444444445</v>
      </c>
      <c r="F1514" s="4" t="n">
        <v>0.7756944444444445</v>
      </c>
      <c r="G1514" s="3">
        <f>IF($E1514="","空卡",IF($F1514="","单卡","正常"))</f>
        <v/>
      </c>
      <c r="H1514" s="5">
        <f>IF($G1514="正常",ROUND(($F1514-$E1514)*1440,0),"")</f>
        <v/>
      </c>
      <c r="I1514" s="6">
        <f>IF($G1514="正常",$H1514/60,"")</f>
        <v/>
      </c>
      <c r="J1514" s="7">
        <f>IF($G1514="正常",ROUND($H1514/30,0)/2,"")</f>
        <v/>
      </c>
      <c r="K1514" s="7">
        <f>IF($G1514="正常",MIN($J1514,12),"")</f>
        <v/>
      </c>
      <c r="L1514" s="7">
        <f>IF($G1514="正常",MAX($J1514-12,0),"")</f>
        <v/>
      </c>
    </row>
    <row r="1515">
      <c r="A1515" s="3" t="inlineStr">
        <is>
          <t>张祖群</t>
        </is>
      </c>
      <c r="B1515" s="3" t="inlineStr">
        <is>
          <t>8/26</t>
        </is>
      </c>
      <c r="C1515" s="3" t="inlineStr">
        <is>
          <t>三</t>
        </is>
      </c>
      <c r="D1515" s="3" t="inlineStr">
        <is>
          <t>07:54 18:58</t>
        </is>
      </c>
      <c r="E1515" s="4" t="n">
        <v>0.3291666666666667</v>
      </c>
      <c r="F1515" s="4" t="n">
        <v>0.7902777777777777</v>
      </c>
      <c r="G1515" s="3">
        <f>IF($E1515="","空卡",IF($F1515="","单卡","正常"))</f>
        <v/>
      </c>
      <c r="H1515" s="5">
        <f>IF($G1515="正常",ROUND(($F1515-$E1515)*1440,0),"")</f>
        <v/>
      </c>
      <c r="I1515" s="6">
        <f>IF($G1515="正常",$H1515/60,"")</f>
        <v/>
      </c>
      <c r="J1515" s="7">
        <f>IF($G1515="正常",ROUND($H1515/30,0)/2,"")</f>
        <v/>
      </c>
      <c r="K1515" s="7">
        <f>IF($G1515="正常",MIN($J1515,12),"")</f>
        <v/>
      </c>
      <c r="L1515" s="7">
        <f>IF($G1515="正常",MAX($J1515-12,0),"")</f>
        <v/>
      </c>
    </row>
    <row r="1516">
      <c r="A1516" s="3" t="inlineStr">
        <is>
          <t>张祖群</t>
        </is>
      </c>
      <c r="B1516" s="3" t="inlineStr">
        <is>
          <t>8/27</t>
        </is>
      </c>
      <c r="C1516" s="3" t="inlineStr">
        <is>
          <t>四</t>
        </is>
      </c>
      <c r="D1516" s="3" t="inlineStr">
        <is>
          <t>07:51 18:03</t>
        </is>
      </c>
      <c r="E1516" s="4" t="n">
        <v>0.3270833333333333</v>
      </c>
      <c r="F1516" s="4" t="n">
        <v>0.7520833333333333</v>
      </c>
      <c r="G1516" s="3">
        <f>IF($E1516="","空卡",IF($F1516="","单卡","正常"))</f>
        <v/>
      </c>
      <c r="H1516" s="5">
        <f>IF($G1516="正常",ROUND(($F1516-$E1516)*1440,0),"")</f>
        <v/>
      </c>
      <c r="I1516" s="6">
        <f>IF($G1516="正常",$H1516/60,"")</f>
        <v/>
      </c>
      <c r="J1516" s="7">
        <f>IF($G1516="正常",ROUND($H1516/30,0)/2,"")</f>
        <v/>
      </c>
      <c r="K1516" s="7">
        <f>IF($G1516="正常",MIN($J1516,12),"")</f>
        <v/>
      </c>
      <c r="L1516" s="7">
        <f>IF($G1516="正常",MAX($J1516-12,0),"")</f>
        <v/>
      </c>
    </row>
    <row r="1517">
      <c r="A1517" s="3" t="inlineStr">
        <is>
          <t>张祖群</t>
        </is>
      </c>
      <c r="B1517" s="3" t="inlineStr">
        <is>
          <t>8/28</t>
        </is>
      </c>
      <c r="C1517" s="3" t="inlineStr">
        <is>
          <t>五</t>
        </is>
      </c>
      <c r="D1517" s="3" t="inlineStr">
        <is>
          <t>07:58 18:30</t>
        </is>
      </c>
      <c r="E1517" s="4" t="n">
        <v>0.3319444444444444</v>
      </c>
      <c r="F1517" s="4" t="n">
        <v>0.7708333333333334</v>
      </c>
      <c r="G1517" s="3">
        <f>IF($E1517="","空卡",IF($F1517="","单卡","正常"))</f>
        <v/>
      </c>
      <c r="H1517" s="5">
        <f>IF($G1517="正常",ROUND(($F1517-$E1517)*1440,0),"")</f>
        <v/>
      </c>
      <c r="I1517" s="6">
        <f>IF($G1517="正常",$H1517/60,"")</f>
        <v/>
      </c>
      <c r="J1517" s="7">
        <f>IF($G1517="正常",ROUND($H1517/30,0)/2,"")</f>
        <v/>
      </c>
      <c r="K1517" s="7">
        <f>IF($G1517="正常",MIN($J1517,12),"")</f>
        <v/>
      </c>
      <c r="L1517" s="7">
        <f>IF($G1517="正常",MAX($J1517-12,0),"")</f>
        <v/>
      </c>
    </row>
    <row r="1518">
      <c r="A1518" s="8" t="inlineStr">
        <is>
          <t>张祖群</t>
        </is>
      </c>
      <c r="B1518" s="8" t="inlineStr">
        <is>
          <t>8/29</t>
        </is>
      </c>
      <c r="C1518" s="8" t="inlineStr">
        <is>
          <t>六</t>
        </is>
      </c>
      <c r="D1518" s="8" t="inlineStr"/>
      <c r="E1518" s="9" t="n"/>
      <c r="F1518" s="9" t="n"/>
      <c r="G1518" s="10">
        <f>IF($E1518="","空卡",IF($F1518="","单卡","正常"))</f>
        <v/>
      </c>
      <c r="H1518" s="11">
        <f>IF($G1518="正常",ROUND(($F1518-$E1518)*1440,0),"")</f>
        <v/>
      </c>
      <c r="I1518" s="12">
        <f>IF($G1518="正常",$H1518/60,"")</f>
        <v/>
      </c>
      <c r="J1518" s="13">
        <f>IF($G1518="正常",ROUND($H1518/30,0)/2,"")</f>
        <v/>
      </c>
      <c r="K1518" s="13">
        <f>IF($G1518="正常",MIN($J1518,12),"")</f>
        <v/>
      </c>
      <c r="L1518" s="13">
        <f>IF($G1518="正常",MAX($J1518-12,0),"")</f>
        <v/>
      </c>
    </row>
    <row r="1519">
      <c r="A1519" s="3" t="inlineStr">
        <is>
          <t>张祖群</t>
        </is>
      </c>
      <c r="B1519" s="3" t="inlineStr">
        <is>
          <t>8/30</t>
        </is>
      </c>
      <c r="C1519" s="3" t="inlineStr">
        <is>
          <t>日</t>
        </is>
      </c>
      <c r="D1519" s="3" t="inlineStr">
        <is>
          <t>07:54 18:40</t>
        </is>
      </c>
      <c r="E1519" s="4" t="n">
        <v>0.3291666666666667</v>
      </c>
      <c r="F1519" s="4" t="n">
        <v>0.7777777777777778</v>
      </c>
      <c r="G1519" s="3">
        <f>IF($E1519="","空卡",IF($F1519="","单卡","正常"))</f>
        <v/>
      </c>
      <c r="H1519" s="5">
        <f>IF($G1519="正常",ROUND(($F1519-$E1519)*1440,0),"")</f>
        <v/>
      </c>
      <c r="I1519" s="6">
        <f>IF($G1519="正常",$H1519/60,"")</f>
        <v/>
      </c>
      <c r="J1519" s="7">
        <f>IF($G1519="正常",ROUND($H1519/30,0)/2,"")</f>
        <v/>
      </c>
      <c r="K1519" s="7">
        <f>IF($G1519="正常",MIN($J1519,12),"")</f>
        <v/>
      </c>
      <c r="L1519" s="7">
        <f>IF($G1519="正常",MAX($J1519-12,0),"")</f>
        <v/>
      </c>
    </row>
    <row r="1520">
      <c r="A1520" s="8" t="inlineStr">
        <is>
          <t>张祖群</t>
        </is>
      </c>
      <c r="B1520" s="8" t="inlineStr">
        <is>
          <t>8/31</t>
        </is>
      </c>
      <c r="C1520" s="8" t="inlineStr">
        <is>
          <t>一</t>
        </is>
      </c>
      <c r="D1520" s="8" t="inlineStr"/>
      <c r="E1520" s="9" t="n"/>
      <c r="F1520" s="9" t="n"/>
      <c r="G1520" s="10">
        <f>IF($E1520="","空卡",IF($F1520="","单卡","正常"))</f>
        <v/>
      </c>
      <c r="H1520" s="11">
        <f>IF($G1520="正常",ROUND(($F1520-$E1520)*1440,0),"")</f>
        <v/>
      </c>
      <c r="I1520" s="12">
        <f>IF($G1520="正常",$H1520/60,"")</f>
        <v/>
      </c>
      <c r="J1520" s="13">
        <f>IF($G1520="正常",ROUND($H1520/30,0)/2,"")</f>
        <v/>
      </c>
      <c r="K1520" s="13">
        <f>IF($G1520="正常",MIN($J1520,12),"")</f>
        <v/>
      </c>
      <c r="L1520" s="13">
        <f>IF($G1520="正常",MAX($J1520-12,0),"")</f>
        <v/>
      </c>
    </row>
    <row r="1521">
      <c r="A1521" s="3" t="inlineStr">
        <is>
          <t>朱传霞</t>
        </is>
      </c>
      <c r="B1521" s="3" t="inlineStr">
        <is>
          <t>8/1</t>
        </is>
      </c>
      <c r="C1521" s="3" t="inlineStr">
        <is>
          <t>六</t>
        </is>
      </c>
      <c r="D1521" s="3" t="inlineStr">
        <is>
          <t>07:58 17:15</t>
        </is>
      </c>
      <c r="E1521" s="4" t="n">
        <v>0.3319444444444444</v>
      </c>
      <c r="F1521" s="4" t="n">
        <v>0.71875</v>
      </c>
      <c r="G1521" s="3">
        <f>IF($E1521="","空卡",IF($F1521="","单卡","正常"))</f>
        <v/>
      </c>
      <c r="H1521" s="5">
        <f>IF($G1521="正常",ROUND(($F1521-$E1521)*1440,0),"")</f>
        <v/>
      </c>
      <c r="I1521" s="6">
        <f>IF($G1521="正常",$H1521/60,"")</f>
        <v/>
      </c>
      <c r="J1521" s="7">
        <f>IF($G1521="正常",ROUND($H1521/30,0)/2,"")</f>
        <v/>
      </c>
      <c r="K1521" s="7">
        <f>IF($G1521="正常",MIN($J1521,12),"")</f>
        <v/>
      </c>
      <c r="L1521" s="7">
        <f>IF($G1521="正常",MAX($J1521-12,0),"")</f>
        <v/>
      </c>
    </row>
    <row r="1522">
      <c r="A1522" s="3" t="inlineStr">
        <is>
          <t>朱传霞</t>
        </is>
      </c>
      <c r="B1522" s="3" t="inlineStr">
        <is>
          <t>8/2</t>
        </is>
      </c>
      <c r="C1522" s="3" t="inlineStr">
        <is>
          <t>日</t>
        </is>
      </c>
      <c r="D1522" s="3" t="inlineStr">
        <is>
          <t>07:54 14:59</t>
        </is>
      </c>
      <c r="E1522" s="4" t="n">
        <v>0.3291666666666667</v>
      </c>
      <c r="F1522" s="4" t="n">
        <v>0.6243055555555556</v>
      </c>
      <c r="G1522" s="3">
        <f>IF($E1522="","空卡",IF($F1522="","单卡","正常"))</f>
        <v/>
      </c>
      <c r="H1522" s="5">
        <f>IF($G1522="正常",ROUND(($F1522-$E1522)*1440,0),"")</f>
        <v/>
      </c>
      <c r="I1522" s="6">
        <f>IF($G1522="正常",$H1522/60,"")</f>
        <v/>
      </c>
      <c r="J1522" s="7">
        <f>IF($G1522="正常",ROUND($H1522/30,0)/2,"")</f>
        <v/>
      </c>
      <c r="K1522" s="7">
        <f>IF($G1522="正常",MIN($J1522,12),"")</f>
        <v/>
      </c>
      <c r="L1522" s="7">
        <f>IF($G1522="正常",MAX($J1522-12,0),"")</f>
        <v/>
      </c>
    </row>
    <row r="1523">
      <c r="A1523" s="3" t="inlineStr">
        <is>
          <t>朱传霞</t>
        </is>
      </c>
      <c r="B1523" s="3" t="inlineStr">
        <is>
          <t>8/3</t>
        </is>
      </c>
      <c r="C1523" s="3" t="inlineStr">
        <is>
          <t>一</t>
        </is>
      </c>
      <c r="D1523" s="3" t="inlineStr">
        <is>
          <t>08:28 15:31</t>
        </is>
      </c>
      <c r="E1523" s="4" t="n">
        <v>0.3527777777777778</v>
      </c>
      <c r="F1523" s="4" t="n">
        <v>0.6465277777777778</v>
      </c>
      <c r="G1523" s="3">
        <f>IF($E1523="","空卡",IF($F1523="","单卡","正常"))</f>
        <v/>
      </c>
      <c r="H1523" s="5">
        <f>IF($G1523="正常",ROUND(($F1523-$E1523)*1440,0),"")</f>
        <v/>
      </c>
      <c r="I1523" s="6">
        <f>IF($G1523="正常",$H1523/60,"")</f>
        <v/>
      </c>
      <c r="J1523" s="7">
        <f>IF($G1523="正常",ROUND($H1523/30,0)/2,"")</f>
        <v/>
      </c>
      <c r="K1523" s="7">
        <f>IF($G1523="正常",MIN($J1523,12),"")</f>
        <v/>
      </c>
      <c r="L1523" s="7">
        <f>IF($G1523="正常",MAX($J1523-12,0),"")</f>
        <v/>
      </c>
    </row>
    <row r="1524">
      <c r="A1524" s="8" t="inlineStr">
        <is>
          <t>朱传霞</t>
        </is>
      </c>
      <c r="B1524" s="8" t="inlineStr">
        <is>
          <t>8/4</t>
        </is>
      </c>
      <c r="C1524" s="8" t="inlineStr">
        <is>
          <t>二</t>
        </is>
      </c>
      <c r="D1524" s="8" t="inlineStr"/>
      <c r="E1524" s="9" t="n"/>
      <c r="F1524" s="9" t="n"/>
      <c r="G1524" s="10">
        <f>IF($E1524="","空卡",IF($F1524="","单卡","正常"))</f>
        <v/>
      </c>
      <c r="H1524" s="11">
        <f>IF($G1524="正常",ROUND(($F1524-$E1524)*1440,0),"")</f>
        <v/>
      </c>
      <c r="I1524" s="12">
        <f>IF($G1524="正常",$H1524/60,"")</f>
        <v/>
      </c>
      <c r="J1524" s="13">
        <f>IF($G1524="正常",ROUND($H1524/30,0)/2,"")</f>
        <v/>
      </c>
      <c r="K1524" s="13">
        <f>IF($G1524="正常",MIN($J1524,12),"")</f>
        <v/>
      </c>
      <c r="L1524" s="13">
        <f>IF($G1524="正常",MAX($J1524-12,0),"")</f>
        <v/>
      </c>
    </row>
    <row r="1525">
      <c r="A1525" s="8" t="inlineStr">
        <is>
          <t>朱传霞</t>
        </is>
      </c>
      <c r="B1525" s="8" t="inlineStr">
        <is>
          <t>8/5</t>
        </is>
      </c>
      <c r="C1525" s="8" t="inlineStr">
        <is>
          <t>三</t>
        </is>
      </c>
      <c r="D1525" s="8" t="inlineStr"/>
      <c r="E1525" s="9" t="n"/>
      <c r="F1525" s="9" t="n"/>
      <c r="G1525" s="10">
        <f>IF($E1525="","空卡",IF($F1525="","单卡","正常"))</f>
        <v/>
      </c>
      <c r="H1525" s="11">
        <f>IF($G1525="正常",ROUND(($F1525-$E1525)*1440,0),"")</f>
        <v/>
      </c>
      <c r="I1525" s="12">
        <f>IF($G1525="正常",$H1525/60,"")</f>
        <v/>
      </c>
      <c r="J1525" s="13">
        <f>IF($G1525="正常",ROUND($H1525/30,0)/2,"")</f>
        <v/>
      </c>
      <c r="K1525" s="13">
        <f>IF($G1525="正常",MIN($J1525,12),"")</f>
        <v/>
      </c>
      <c r="L1525" s="13">
        <f>IF($G1525="正常",MAX($J1525-12,0),"")</f>
        <v/>
      </c>
    </row>
    <row r="1526">
      <c r="A1526" s="8" t="inlineStr">
        <is>
          <t>朱传霞</t>
        </is>
      </c>
      <c r="B1526" s="8" t="inlineStr">
        <is>
          <t>8/6</t>
        </is>
      </c>
      <c r="C1526" s="8" t="inlineStr">
        <is>
          <t>四</t>
        </is>
      </c>
      <c r="D1526" s="8" t="inlineStr">
        <is>
          <t>19:01</t>
        </is>
      </c>
      <c r="E1526" s="9" t="n">
        <v>0.7923611111111111</v>
      </c>
      <c r="F1526" s="9" t="n"/>
      <c r="G1526" s="10">
        <f>IF($E1526="","空卡",IF($F1526="","单卡","正常"))</f>
        <v/>
      </c>
      <c r="H1526" s="11">
        <f>IF($G1526="正常",ROUND(($F1526-$E1526)*1440,0),"")</f>
        <v/>
      </c>
      <c r="I1526" s="12">
        <f>IF($G1526="正常",$H1526/60,"")</f>
        <v/>
      </c>
      <c r="J1526" s="13">
        <f>IF($G1526="正常",ROUND($H1526/30,0)/2,"")</f>
        <v/>
      </c>
      <c r="K1526" s="13">
        <f>IF($G1526="正常",MIN($J1526,12),"")</f>
        <v/>
      </c>
      <c r="L1526" s="13">
        <f>IF($G1526="正常",MAX($J1526-12,0),"")</f>
        <v/>
      </c>
    </row>
    <row r="1527">
      <c r="A1527" s="3" t="inlineStr">
        <is>
          <t>朱传霞</t>
        </is>
      </c>
      <c r="B1527" s="3" t="inlineStr">
        <is>
          <t>8/7</t>
        </is>
      </c>
      <c r="C1527" s="3" t="inlineStr">
        <is>
          <t>五</t>
        </is>
      </c>
      <c r="D1527" s="3" t="inlineStr">
        <is>
          <t>07:57 20:00</t>
        </is>
      </c>
      <c r="E1527" s="4" t="n">
        <v>0.33125</v>
      </c>
      <c r="F1527" s="4" t="n">
        <v>0.8333333333333334</v>
      </c>
      <c r="G1527" s="3">
        <f>IF($E1527="","空卡",IF($F1527="","单卡","正常"))</f>
        <v/>
      </c>
      <c r="H1527" s="5">
        <f>IF($G1527="正常",ROUND(($F1527-$E1527)*1440,0),"")</f>
        <v/>
      </c>
      <c r="I1527" s="6">
        <f>IF($G1527="正常",$H1527/60,"")</f>
        <v/>
      </c>
      <c r="J1527" s="7">
        <f>IF($G1527="正常",ROUND($H1527/30,0)/2,"")</f>
        <v/>
      </c>
      <c r="K1527" s="7">
        <f>IF($G1527="正常",MIN($J1527,12),"")</f>
        <v/>
      </c>
      <c r="L1527" s="7">
        <f>IF($G1527="正常",MAX($J1527-12,0),"")</f>
        <v/>
      </c>
    </row>
    <row r="1528">
      <c r="A1528" s="3" t="inlineStr">
        <is>
          <t>朱传霞</t>
        </is>
      </c>
      <c r="B1528" s="3" t="inlineStr">
        <is>
          <t>8/8</t>
        </is>
      </c>
      <c r="C1528" s="3" t="inlineStr">
        <is>
          <t>六</t>
        </is>
      </c>
      <c r="D1528" s="3" t="inlineStr">
        <is>
          <t>08:19 19:38</t>
        </is>
      </c>
      <c r="E1528" s="4" t="n">
        <v>0.3465277777777778</v>
      </c>
      <c r="F1528" s="4" t="n">
        <v>0.8180555555555555</v>
      </c>
      <c r="G1528" s="3">
        <f>IF($E1528="","空卡",IF($F1528="","单卡","正常"))</f>
        <v/>
      </c>
      <c r="H1528" s="5">
        <f>IF($G1528="正常",ROUND(($F1528-$E1528)*1440,0),"")</f>
        <v/>
      </c>
      <c r="I1528" s="6">
        <f>IF($G1528="正常",$H1528/60,"")</f>
        <v/>
      </c>
      <c r="J1528" s="7">
        <f>IF($G1528="正常",ROUND($H1528/30,0)/2,"")</f>
        <v/>
      </c>
      <c r="K1528" s="7">
        <f>IF($G1528="正常",MIN($J1528,12),"")</f>
        <v/>
      </c>
      <c r="L1528" s="7">
        <f>IF($G1528="正常",MAX($J1528-12,0),"")</f>
        <v/>
      </c>
    </row>
    <row r="1529">
      <c r="A1529" s="8" t="inlineStr">
        <is>
          <t>朱传霞</t>
        </is>
      </c>
      <c r="B1529" s="8" t="inlineStr">
        <is>
          <t>8/9</t>
        </is>
      </c>
      <c r="C1529" s="8" t="inlineStr">
        <is>
          <t>日</t>
        </is>
      </c>
      <c r="D1529" s="8" t="inlineStr"/>
      <c r="E1529" s="9" t="n"/>
      <c r="F1529" s="9" t="n"/>
      <c r="G1529" s="10">
        <f>IF($E1529="","空卡",IF($F1529="","单卡","正常"))</f>
        <v/>
      </c>
      <c r="H1529" s="11">
        <f>IF($G1529="正常",ROUND(($F1529-$E1529)*1440,0),"")</f>
        <v/>
      </c>
      <c r="I1529" s="12">
        <f>IF($G1529="正常",$H1529/60,"")</f>
        <v/>
      </c>
      <c r="J1529" s="13">
        <f>IF($G1529="正常",ROUND($H1529/30,0)/2,"")</f>
        <v/>
      </c>
      <c r="K1529" s="13">
        <f>IF($G1529="正常",MIN($J1529,12),"")</f>
        <v/>
      </c>
      <c r="L1529" s="13">
        <f>IF($G1529="正常",MAX($J1529-12,0),"")</f>
        <v/>
      </c>
    </row>
    <row r="1530">
      <c r="A1530" s="8" t="inlineStr">
        <is>
          <t>朱传霞</t>
        </is>
      </c>
      <c r="B1530" s="8" t="inlineStr">
        <is>
          <t>8/10</t>
        </is>
      </c>
      <c r="C1530" s="8" t="inlineStr">
        <is>
          <t>一</t>
        </is>
      </c>
      <c r="D1530" s="8" t="inlineStr"/>
      <c r="E1530" s="9" t="n"/>
      <c r="F1530" s="9" t="n"/>
      <c r="G1530" s="10">
        <f>IF($E1530="","空卡",IF($F1530="","单卡","正常"))</f>
        <v/>
      </c>
      <c r="H1530" s="11">
        <f>IF($G1530="正常",ROUND(($F1530-$E1530)*1440,0),"")</f>
        <v/>
      </c>
      <c r="I1530" s="12">
        <f>IF($G1530="正常",$H1530/60,"")</f>
        <v/>
      </c>
      <c r="J1530" s="13">
        <f>IF($G1530="正常",ROUND($H1530/30,0)/2,"")</f>
        <v/>
      </c>
      <c r="K1530" s="13">
        <f>IF($G1530="正常",MIN($J1530,12),"")</f>
        <v/>
      </c>
      <c r="L1530" s="13">
        <f>IF($G1530="正常",MAX($J1530-12,0),"")</f>
        <v/>
      </c>
    </row>
    <row r="1531">
      <c r="A1531" s="3" t="inlineStr">
        <is>
          <t>朱传霞</t>
        </is>
      </c>
      <c r="B1531" s="3" t="inlineStr">
        <is>
          <t>8/11</t>
        </is>
      </c>
      <c r="C1531" s="3" t="inlineStr">
        <is>
          <t>二</t>
        </is>
      </c>
      <c r="D1531" s="3" t="inlineStr">
        <is>
          <t>08:15 08:24 18:06</t>
        </is>
      </c>
      <c r="E1531" s="4" t="n">
        <v>0.34375</v>
      </c>
      <c r="F1531" s="4" t="n">
        <v>0.7541666666666667</v>
      </c>
      <c r="G1531" s="3">
        <f>IF($E1531="","空卡",IF($F1531="","单卡","正常"))</f>
        <v/>
      </c>
      <c r="H1531" s="5">
        <f>IF($G1531="正常",ROUND(($F1531-$E1531)*1440,0),"")</f>
        <v/>
      </c>
      <c r="I1531" s="6">
        <f>IF($G1531="正常",$H1531/60,"")</f>
        <v/>
      </c>
      <c r="J1531" s="7">
        <f>IF($G1531="正常",ROUND($H1531/30,0)/2,"")</f>
        <v/>
      </c>
      <c r="K1531" s="7">
        <f>IF($G1531="正常",MIN($J1531,12),"")</f>
        <v/>
      </c>
      <c r="L1531" s="7">
        <f>IF($G1531="正常",MAX($J1531-12,0),"")</f>
        <v/>
      </c>
    </row>
    <row r="1532">
      <c r="A1532" s="3" t="inlineStr">
        <is>
          <t>朱传霞</t>
        </is>
      </c>
      <c r="B1532" s="3" t="inlineStr">
        <is>
          <t>8/12</t>
        </is>
      </c>
      <c r="C1532" s="3" t="inlineStr">
        <is>
          <t>三</t>
        </is>
      </c>
      <c r="D1532" s="3" t="inlineStr">
        <is>
          <t>09:53 09:54 18:47</t>
        </is>
      </c>
      <c r="E1532" s="4" t="n">
        <v>0.4118055555555555</v>
      </c>
      <c r="F1532" s="4" t="n">
        <v>0.7826388888888889</v>
      </c>
      <c r="G1532" s="3">
        <f>IF($E1532="","空卡",IF($F1532="","单卡","正常"))</f>
        <v/>
      </c>
      <c r="H1532" s="5">
        <f>IF($G1532="正常",ROUND(($F1532-$E1532)*1440,0),"")</f>
        <v/>
      </c>
      <c r="I1532" s="6">
        <f>IF($G1532="正常",$H1532/60,"")</f>
        <v/>
      </c>
      <c r="J1532" s="7">
        <f>IF($G1532="正常",ROUND($H1532/30,0)/2,"")</f>
        <v/>
      </c>
      <c r="K1532" s="7">
        <f>IF($G1532="正常",MIN($J1532,12),"")</f>
        <v/>
      </c>
      <c r="L1532" s="7">
        <f>IF($G1532="正常",MAX($J1532-12,0),"")</f>
        <v/>
      </c>
    </row>
    <row r="1533">
      <c r="A1533" s="3" t="inlineStr">
        <is>
          <t>朱传霞</t>
        </is>
      </c>
      <c r="B1533" s="3" t="inlineStr">
        <is>
          <t>8/13</t>
        </is>
      </c>
      <c r="C1533" s="3" t="inlineStr">
        <is>
          <t>四</t>
        </is>
      </c>
      <c r="D1533" s="3" t="inlineStr">
        <is>
          <t>08:21 19:02</t>
        </is>
      </c>
      <c r="E1533" s="4" t="n">
        <v>0.3479166666666667</v>
      </c>
      <c r="F1533" s="4" t="n">
        <v>0.7930555555555555</v>
      </c>
      <c r="G1533" s="3">
        <f>IF($E1533="","空卡",IF($F1533="","单卡","正常"))</f>
        <v/>
      </c>
      <c r="H1533" s="5">
        <f>IF($G1533="正常",ROUND(($F1533-$E1533)*1440,0),"")</f>
        <v/>
      </c>
      <c r="I1533" s="6">
        <f>IF($G1533="正常",$H1533/60,"")</f>
        <v/>
      </c>
      <c r="J1533" s="7">
        <f>IF($G1533="正常",ROUND($H1533/30,0)/2,"")</f>
        <v/>
      </c>
      <c r="K1533" s="7">
        <f>IF($G1533="正常",MIN($J1533,12),"")</f>
        <v/>
      </c>
      <c r="L1533" s="7">
        <f>IF($G1533="正常",MAX($J1533-12,0),"")</f>
        <v/>
      </c>
    </row>
    <row r="1534">
      <c r="A1534" s="3" t="inlineStr">
        <is>
          <t>朱传霞</t>
        </is>
      </c>
      <c r="B1534" s="3" t="inlineStr">
        <is>
          <t>8/14</t>
        </is>
      </c>
      <c r="C1534" s="3" t="inlineStr">
        <is>
          <t>五</t>
        </is>
      </c>
      <c r="D1534" s="3" t="inlineStr">
        <is>
          <t>08:25 20:56</t>
        </is>
      </c>
      <c r="E1534" s="4" t="n">
        <v>0.3506944444444444</v>
      </c>
      <c r="F1534" s="4" t="n">
        <v>0.8722222222222222</v>
      </c>
      <c r="G1534" s="3">
        <f>IF($E1534="","空卡",IF($F1534="","单卡","正常"))</f>
        <v/>
      </c>
      <c r="H1534" s="5">
        <f>IF($G1534="正常",ROUND(($F1534-$E1534)*1440,0),"")</f>
        <v/>
      </c>
      <c r="I1534" s="6">
        <f>IF($G1534="正常",$H1534/60,"")</f>
        <v/>
      </c>
      <c r="J1534" s="7">
        <f>IF($G1534="正常",ROUND($H1534/30,0)/2,"")</f>
        <v/>
      </c>
      <c r="K1534" s="7">
        <f>IF($G1534="正常",MIN($J1534,12),"")</f>
        <v/>
      </c>
      <c r="L1534" s="7">
        <f>IF($G1534="正常",MAX($J1534-12,0),"")</f>
        <v/>
      </c>
    </row>
    <row r="1535">
      <c r="A1535" s="3" t="inlineStr">
        <is>
          <t>朱传霞</t>
        </is>
      </c>
      <c r="B1535" s="3" t="inlineStr">
        <is>
          <t>8/15</t>
        </is>
      </c>
      <c r="C1535" s="3" t="inlineStr">
        <is>
          <t>六</t>
        </is>
      </c>
      <c r="D1535" s="3" t="inlineStr">
        <is>
          <t>06:55 19:05</t>
        </is>
      </c>
      <c r="E1535" s="4" t="n">
        <v>0.2881944444444444</v>
      </c>
      <c r="F1535" s="4" t="n">
        <v>0.7951388888888888</v>
      </c>
      <c r="G1535" s="3">
        <f>IF($E1535="","空卡",IF($F1535="","单卡","正常"))</f>
        <v/>
      </c>
      <c r="H1535" s="5">
        <f>IF($G1535="正常",ROUND(($F1535-$E1535)*1440,0),"")</f>
        <v/>
      </c>
      <c r="I1535" s="6">
        <f>IF($G1535="正常",$H1535/60,"")</f>
        <v/>
      </c>
      <c r="J1535" s="7">
        <f>IF($G1535="正常",ROUND($H1535/30,0)/2,"")</f>
        <v/>
      </c>
      <c r="K1535" s="7">
        <f>IF($G1535="正常",MIN($J1535,12),"")</f>
        <v/>
      </c>
      <c r="L1535" s="7">
        <f>IF($G1535="正常",MAX($J1535-12,0),"")</f>
        <v/>
      </c>
    </row>
    <row r="1536">
      <c r="A1536" s="8" t="inlineStr">
        <is>
          <t>朱传霞</t>
        </is>
      </c>
      <c r="B1536" s="8" t="inlineStr">
        <is>
          <t>8/16</t>
        </is>
      </c>
      <c r="C1536" s="8" t="inlineStr">
        <is>
          <t>日</t>
        </is>
      </c>
      <c r="D1536" s="8" t="inlineStr"/>
      <c r="E1536" s="9" t="n"/>
      <c r="F1536" s="9" t="n"/>
      <c r="G1536" s="10">
        <f>IF($E1536="","空卡",IF($F1536="","单卡","正常"))</f>
        <v/>
      </c>
      <c r="H1536" s="11">
        <f>IF($G1536="正常",ROUND(($F1536-$E1536)*1440,0),"")</f>
        <v/>
      </c>
      <c r="I1536" s="12">
        <f>IF($G1536="正常",$H1536/60,"")</f>
        <v/>
      </c>
      <c r="J1536" s="13">
        <f>IF($G1536="正常",ROUND($H1536/30,0)/2,"")</f>
        <v/>
      </c>
      <c r="K1536" s="13">
        <f>IF($G1536="正常",MIN($J1536,12),"")</f>
        <v/>
      </c>
      <c r="L1536" s="13">
        <f>IF($G1536="正常",MAX($J1536-12,0),"")</f>
        <v/>
      </c>
    </row>
    <row r="1537">
      <c r="A1537" s="3" t="inlineStr">
        <is>
          <t>朱传霞</t>
        </is>
      </c>
      <c r="B1537" s="3" t="inlineStr">
        <is>
          <t>8/17</t>
        </is>
      </c>
      <c r="C1537" s="3" t="inlineStr">
        <is>
          <t>一</t>
        </is>
      </c>
      <c r="D1537" s="3" t="inlineStr">
        <is>
          <t>07:54 19:59</t>
        </is>
      </c>
      <c r="E1537" s="4" t="n">
        <v>0.3291666666666667</v>
      </c>
      <c r="F1537" s="4" t="n">
        <v>0.8326388888888889</v>
      </c>
      <c r="G1537" s="3">
        <f>IF($E1537="","空卡",IF($F1537="","单卡","正常"))</f>
        <v/>
      </c>
      <c r="H1537" s="5">
        <f>IF($G1537="正常",ROUND(($F1537-$E1537)*1440,0),"")</f>
        <v/>
      </c>
      <c r="I1537" s="6">
        <f>IF($G1537="正常",$H1537/60,"")</f>
        <v/>
      </c>
      <c r="J1537" s="7">
        <f>IF($G1537="正常",ROUND($H1537/30,0)/2,"")</f>
        <v/>
      </c>
      <c r="K1537" s="7">
        <f>IF($G1537="正常",MIN($J1537,12),"")</f>
        <v/>
      </c>
      <c r="L1537" s="7">
        <f>IF($G1537="正常",MAX($J1537-12,0),"")</f>
        <v/>
      </c>
    </row>
    <row r="1538">
      <c r="A1538" s="3" t="inlineStr">
        <is>
          <t>朱传霞</t>
        </is>
      </c>
      <c r="B1538" s="3" t="inlineStr">
        <is>
          <t>8/18</t>
        </is>
      </c>
      <c r="C1538" s="3" t="inlineStr">
        <is>
          <t>二</t>
        </is>
      </c>
      <c r="D1538" s="3" t="inlineStr">
        <is>
          <t>07:55 18:57</t>
        </is>
      </c>
      <c r="E1538" s="4" t="n">
        <v>0.3298611111111111</v>
      </c>
      <c r="F1538" s="4" t="n">
        <v>0.7895833333333333</v>
      </c>
      <c r="G1538" s="3">
        <f>IF($E1538="","空卡",IF($F1538="","单卡","正常"))</f>
        <v/>
      </c>
      <c r="H1538" s="5">
        <f>IF($G1538="正常",ROUND(($F1538-$E1538)*1440,0),"")</f>
        <v/>
      </c>
      <c r="I1538" s="6">
        <f>IF($G1538="正常",$H1538/60,"")</f>
        <v/>
      </c>
      <c r="J1538" s="7">
        <f>IF($G1538="正常",ROUND($H1538/30,0)/2,"")</f>
        <v/>
      </c>
      <c r="K1538" s="7">
        <f>IF($G1538="正常",MIN($J1538,12),"")</f>
        <v/>
      </c>
      <c r="L1538" s="7">
        <f>IF($G1538="正常",MAX($J1538-12,0),"")</f>
        <v/>
      </c>
    </row>
    <row r="1539">
      <c r="A1539" s="8" t="inlineStr">
        <is>
          <t>朱传霞</t>
        </is>
      </c>
      <c r="B1539" s="8" t="inlineStr">
        <is>
          <t>8/19</t>
        </is>
      </c>
      <c r="C1539" s="8" t="inlineStr">
        <is>
          <t>三</t>
        </is>
      </c>
      <c r="D1539" s="8" t="inlineStr">
        <is>
          <t>20:30</t>
        </is>
      </c>
      <c r="E1539" s="9" t="n">
        <v>0.8541666666666666</v>
      </c>
      <c r="F1539" s="9" t="n"/>
      <c r="G1539" s="10">
        <f>IF($E1539="","空卡",IF($F1539="","单卡","正常"))</f>
        <v/>
      </c>
      <c r="H1539" s="11">
        <f>IF($G1539="正常",ROUND(($F1539-$E1539)*1440,0),"")</f>
        <v/>
      </c>
      <c r="I1539" s="12">
        <f>IF($G1539="正常",$H1539/60,"")</f>
        <v/>
      </c>
      <c r="J1539" s="13">
        <f>IF($G1539="正常",ROUND($H1539/30,0)/2,"")</f>
        <v/>
      </c>
      <c r="K1539" s="13">
        <f>IF($G1539="正常",MIN($J1539,12),"")</f>
        <v/>
      </c>
      <c r="L1539" s="13">
        <f>IF($G1539="正常",MAX($J1539-12,0),"")</f>
        <v/>
      </c>
    </row>
    <row r="1540">
      <c r="A1540" s="3" t="inlineStr">
        <is>
          <t>朱传霞</t>
        </is>
      </c>
      <c r="B1540" s="3" t="inlineStr">
        <is>
          <t>8/20</t>
        </is>
      </c>
      <c r="C1540" s="3" t="inlineStr">
        <is>
          <t>四</t>
        </is>
      </c>
      <c r="D1540" s="3" t="inlineStr">
        <is>
          <t>10:28 19:59</t>
        </is>
      </c>
      <c r="E1540" s="4" t="n">
        <v>0.4361111111111111</v>
      </c>
      <c r="F1540" s="4" t="n">
        <v>0.8326388888888889</v>
      </c>
      <c r="G1540" s="3">
        <f>IF($E1540="","空卡",IF($F1540="","单卡","正常"))</f>
        <v/>
      </c>
      <c r="H1540" s="5">
        <f>IF($G1540="正常",ROUND(($F1540-$E1540)*1440,0),"")</f>
        <v/>
      </c>
      <c r="I1540" s="6">
        <f>IF($G1540="正常",$H1540/60,"")</f>
        <v/>
      </c>
      <c r="J1540" s="7">
        <f>IF($G1540="正常",ROUND($H1540/30,0)/2,"")</f>
        <v/>
      </c>
      <c r="K1540" s="7">
        <f>IF($G1540="正常",MIN($J1540,12),"")</f>
        <v/>
      </c>
      <c r="L1540" s="7">
        <f>IF($G1540="正常",MAX($J1540-12,0),"")</f>
        <v/>
      </c>
    </row>
    <row r="1541">
      <c r="A1541" s="3" t="inlineStr">
        <is>
          <t>朱传霞</t>
        </is>
      </c>
      <c r="B1541" s="3" t="inlineStr">
        <is>
          <t>8/21</t>
        </is>
      </c>
      <c r="C1541" s="3" t="inlineStr">
        <is>
          <t>五</t>
        </is>
      </c>
      <c r="D1541" s="3" t="inlineStr">
        <is>
          <t>07:22 19:03</t>
        </is>
      </c>
      <c r="E1541" s="4" t="n">
        <v>0.3069444444444445</v>
      </c>
      <c r="F1541" s="4" t="n">
        <v>0.79375</v>
      </c>
      <c r="G1541" s="3">
        <f>IF($E1541="","空卡",IF($F1541="","单卡","正常"))</f>
        <v/>
      </c>
      <c r="H1541" s="5">
        <f>IF($G1541="正常",ROUND(($F1541-$E1541)*1440,0),"")</f>
        <v/>
      </c>
      <c r="I1541" s="6">
        <f>IF($G1541="正常",$H1541/60,"")</f>
        <v/>
      </c>
      <c r="J1541" s="7">
        <f>IF($G1541="正常",ROUND($H1541/30,0)/2,"")</f>
        <v/>
      </c>
      <c r="K1541" s="7">
        <f>IF($G1541="正常",MIN($J1541,12),"")</f>
        <v/>
      </c>
      <c r="L1541" s="7">
        <f>IF($G1541="正常",MAX($J1541-12,0),"")</f>
        <v/>
      </c>
    </row>
    <row r="1542">
      <c r="A1542" s="8" t="inlineStr">
        <is>
          <t>朱传霞</t>
        </is>
      </c>
      <c r="B1542" s="8" t="inlineStr">
        <is>
          <t>8/22</t>
        </is>
      </c>
      <c r="C1542" s="8" t="inlineStr">
        <is>
          <t>六</t>
        </is>
      </c>
      <c r="D1542" s="8" t="inlineStr"/>
      <c r="E1542" s="9" t="n"/>
      <c r="F1542" s="9" t="n"/>
      <c r="G1542" s="10">
        <f>IF($E1542="","空卡",IF($F1542="","单卡","正常"))</f>
        <v/>
      </c>
      <c r="H1542" s="11">
        <f>IF($G1542="正常",ROUND(($F1542-$E1542)*1440,0),"")</f>
        <v/>
      </c>
      <c r="I1542" s="12">
        <f>IF($G1542="正常",$H1542/60,"")</f>
        <v/>
      </c>
      <c r="J1542" s="13">
        <f>IF($G1542="正常",ROUND($H1542/30,0)/2,"")</f>
        <v/>
      </c>
      <c r="K1542" s="13">
        <f>IF($G1542="正常",MIN($J1542,12),"")</f>
        <v/>
      </c>
      <c r="L1542" s="13">
        <f>IF($G1542="正常",MAX($J1542-12,0),"")</f>
        <v/>
      </c>
    </row>
    <row r="1543">
      <c r="A1543" s="8" t="inlineStr">
        <is>
          <t>朱传霞</t>
        </is>
      </c>
      <c r="B1543" s="8" t="inlineStr">
        <is>
          <t>8/23</t>
        </is>
      </c>
      <c r="C1543" s="8" t="inlineStr">
        <is>
          <t>日</t>
        </is>
      </c>
      <c r="D1543" s="8" t="inlineStr"/>
      <c r="E1543" s="9" t="n"/>
      <c r="F1543" s="9" t="n"/>
      <c r="G1543" s="10">
        <f>IF($E1543="","空卡",IF($F1543="","单卡","正常"))</f>
        <v/>
      </c>
      <c r="H1543" s="11">
        <f>IF($G1543="正常",ROUND(($F1543-$E1543)*1440,0),"")</f>
        <v/>
      </c>
      <c r="I1543" s="12">
        <f>IF($G1543="正常",$H1543/60,"")</f>
        <v/>
      </c>
      <c r="J1543" s="13">
        <f>IF($G1543="正常",ROUND($H1543/30,0)/2,"")</f>
        <v/>
      </c>
      <c r="K1543" s="13">
        <f>IF($G1543="正常",MIN($J1543,12),"")</f>
        <v/>
      </c>
      <c r="L1543" s="13">
        <f>IF($G1543="正常",MAX($J1543-12,0),"")</f>
        <v/>
      </c>
    </row>
    <row r="1544">
      <c r="A1544" s="3" t="inlineStr">
        <is>
          <t>朱传霞</t>
        </is>
      </c>
      <c r="B1544" s="3" t="inlineStr">
        <is>
          <t>8/24</t>
        </is>
      </c>
      <c r="C1544" s="3" t="inlineStr">
        <is>
          <t>一</t>
        </is>
      </c>
      <c r="D1544" s="3" t="inlineStr">
        <is>
          <t>06:58 16:35</t>
        </is>
      </c>
      <c r="E1544" s="4" t="n">
        <v>0.2902777777777778</v>
      </c>
      <c r="F1544" s="4" t="n">
        <v>0.6909722222222222</v>
      </c>
      <c r="G1544" s="3">
        <f>IF($E1544="","空卡",IF($F1544="","单卡","正常"))</f>
        <v/>
      </c>
      <c r="H1544" s="5">
        <f>IF($G1544="正常",ROUND(($F1544-$E1544)*1440,0),"")</f>
        <v/>
      </c>
      <c r="I1544" s="6">
        <f>IF($G1544="正常",$H1544/60,"")</f>
        <v/>
      </c>
      <c r="J1544" s="7">
        <f>IF($G1544="正常",ROUND($H1544/30,0)/2,"")</f>
        <v/>
      </c>
      <c r="K1544" s="7">
        <f>IF($G1544="正常",MIN($J1544,12),"")</f>
        <v/>
      </c>
      <c r="L1544" s="7">
        <f>IF($G1544="正常",MAX($J1544-12,0),"")</f>
        <v/>
      </c>
    </row>
    <row r="1545">
      <c r="A1545" s="3" t="inlineStr">
        <is>
          <t>朱传霞</t>
        </is>
      </c>
      <c r="B1545" s="3" t="inlineStr">
        <is>
          <t>8/25</t>
        </is>
      </c>
      <c r="C1545" s="3" t="inlineStr">
        <is>
          <t>二</t>
        </is>
      </c>
      <c r="D1545" s="3" t="inlineStr">
        <is>
          <t>08:33 18:36</t>
        </is>
      </c>
      <c r="E1545" s="4" t="n">
        <v>0.35625</v>
      </c>
      <c r="F1545" s="4" t="n">
        <v>0.775</v>
      </c>
      <c r="G1545" s="3">
        <f>IF($E1545="","空卡",IF($F1545="","单卡","正常"))</f>
        <v/>
      </c>
      <c r="H1545" s="5">
        <f>IF($G1545="正常",ROUND(($F1545-$E1545)*1440,0),"")</f>
        <v/>
      </c>
      <c r="I1545" s="6">
        <f>IF($G1545="正常",$H1545/60,"")</f>
        <v/>
      </c>
      <c r="J1545" s="7">
        <f>IF($G1545="正常",ROUND($H1545/30,0)/2,"")</f>
        <v/>
      </c>
      <c r="K1545" s="7">
        <f>IF($G1545="正常",MIN($J1545,12),"")</f>
        <v/>
      </c>
      <c r="L1545" s="7">
        <f>IF($G1545="正常",MAX($J1545-12,0),"")</f>
        <v/>
      </c>
    </row>
    <row r="1546">
      <c r="A1546" s="3" t="inlineStr">
        <is>
          <t>朱传霞</t>
        </is>
      </c>
      <c r="B1546" s="3" t="inlineStr">
        <is>
          <t>8/26</t>
        </is>
      </c>
      <c r="C1546" s="3" t="inlineStr">
        <is>
          <t>三</t>
        </is>
      </c>
      <c r="D1546" s="3" t="inlineStr">
        <is>
          <t>07:52 19:15</t>
        </is>
      </c>
      <c r="E1546" s="4" t="n">
        <v>0.3277777777777778</v>
      </c>
      <c r="F1546" s="4" t="n">
        <v>0.8020833333333334</v>
      </c>
      <c r="G1546" s="3">
        <f>IF($E1546="","空卡",IF($F1546="","单卡","正常"))</f>
        <v/>
      </c>
      <c r="H1546" s="5">
        <f>IF($G1546="正常",ROUND(($F1546-$E1546)*1440,0),"")</f>
        <v/>
      </c>
      <c r="I1546" s="6">
        <f>IF($G1546="正常",$H1546/60,"")</f>
        <v/>
      </c>
      <c r="J1546" s="7">
        <f>IF($G1546="正常",ROUND($H1546/30,0)/2,"")</f>
        <v/>
      </c>
      <c r="K1546" s="7">
        <f>IF($G1546="正常",MIN($J1546,12),"")</f>
        <v/>
      </c>
      <c r="L1546" s="7">
        <f>IF($G1546="正常",MAX($J1546-12,0),"")</f>
        <v/>
      </c>
    </row>
    <row r="1547">
      <c r="A1547" s="3" t="inlineStr">
        <is>
          <t>朱传霞</t>
        </is>
      </c>
      <c r="B1547" s="3" t="inlineStr">
        <is>
          <t>8/27</t>
        </is>
      </c>
      <c r="C1547" s="3" t="inlineStr">
        <is>
          <t>四</t>
        </is>
      </c>
      <c r="D1547" s="3" t="inlineStr">
        <is>
          <t>07:53 19:08</t>
        </is>
      </c>
      <c r="E1547" s="4" t="n">
        <v>0.3284722222222222</v>
      </c>
      <c r="F1547" s="4" t="n">
        <v>0.7972222222222223</v>
      </c>
      <c r="G1547" s="3">
        <f>IF($E1547="","空卡",IF($F1547="","单卡","正常"))</f>
        <v/>
      </c>
      <c r="H1547" s="5">
        <f>IF($G1547="正常",ROUND(($F1547-$E1547)*1440,0),"")</f>
        <v/>
      </c>
      <c r="I1547" s="6">
        <f>IF($G1547="正常",$H1547/60,"")</f>
        <v/>
      </c>
      <c r="J1547" s="7">
        <f>IF($G1547="正常",ROUND($H1547/30,0)/2,"")</f>
        <v/>
      </c>
      <c r="K1547" s="7">
        <f>IF($G1547="正常",MIN($J1547,12),"")</f>
        <v/>
      </c>
      <c r="L1547" s="7">
        <f>IF($G1547="正常",MAX($J1547-12,0),"")</f>
        <v/>
      </c>
    </row>
    <row r="1548">
      <c r="A1548" s="8" t="inlineStr">
        <is>
          <t>朱传霞</t>
        </is>
      </c>
      <c r="B1548" s="8" t="inlineStr">
        <is>
          <t>8/28</t>
        </is>
      </c>
      <c r="C1548" s="8" t="inlineStr">
        <is>
          <t>五</t>
        </is>
      </c>
      <c r="D1548" s="8" t="inlineStr"/>
      <c r="E1548" s="9" t="n"/>
      <c r="F1548" s="9" t="n"/>
      <c r="G1548" s="10">
        <f>IF($E1548="","空卡",IF($F1548="","单卡","正常"))</f>
        <v/>
      </c>
      <c r="H1548" s="11">
        <f>IF($G1548="正常",ROUND(($F1548-$E1548)*1440,0),"")</f>
        <v/>
      </c>
      <c r="I1548" s="12">
        <f>IF($G1548="正常",$H1548/60,"")</f>
        <v/>
      </c>
      <c r="J1548" s="13">
        <f>IF($G1548="正常",ROUND($H1548/30,0)/2,"")</f>
        <v/>
      </c>
      <c r="K1548" s="13">
        <f>IF($G1548="正常",MIN($J1548,12),"")</f>
        <v/>
      </c>
      <c r="L1548" s="13">
        <f>IF($G1548="正常",MAX($J1548-12,0),"")</f>
        <v/>
      </c>
    </row>
    <row r="1549">
      <c r="A1549" s="3" t="inlineStr">
        <is>
          <t>朱传霞</t>
        </is>
      </c>
      <c r="B1549" s="3" t="inlineStr">
        <is>
          <t>8/29</t>
        </is>
      </c>
      <c r="C1549" s="3" t="inlineStr">
        <is>
          <t>六</t>
        </is>
      </c>
      <c r="D1549" s="3" t="inlineStr">
        <is>
          <t>07:51 22:00</t>
        </is>
      </c>
      <c r="E1549" s="4" t="n">
        <v>0.3270833333333333</v>
      </c>
      <c r="F1549" s="4" t="n">
        <v>0.9166666666666666</v>
      </c>
      <c r="G1549" s="3">
        <f>IF($E1549="","空卡",IF($F1549="","单卡","正常"))</f>
        <v/>
      </c>
      <c r="H1549" s="5">
        <f>IF($G1549="正常",ROUND(($F1549-$E1549)*1440,0),"")</f>
        <v/>
      </c>
      <c r="I1549" s="6">
        <f>IF($G1549="正常",$H1549/60,"")</f>
        <v/>
      </c>
      <c r="J1549" s="7">
        <f>IF($G1549="正常",ROUND($H1549/30,0)/2,"")</f>
        <v/>
      </c>
      <c r="K1549" s="7">
        <f>IF($G1549="正常",MIN($J1549,12),"")</f>
        <v/>
      </c>
      <c r="L1549" s="7">
        <f>IF($G1549="正常",MAX($J1549-12,0),"")</f>
        <v/>
      </c>
    </row>
    <row r="1550">
      <c r="A1550" s="3" t="inlineStr">
        <is>
          <t>朱传霞</t>
        </is>
      </c>
      <c r="B1550" s="3" t="inlineStr">
        <is>
          <t>8/30</t>
        </is>
      </c>
      <c r="C1550" s="3" t="inlineStr">
        <is>
          <t>日</t>
        </is>
      </c>
      <c r="D1550" s="3" t="inlineStr">
        <is>
          <t>07:54 18:42</t>
        </is>
      </c>
      <c r="E1550" s="4" t="n">
        <v>0.3291666666666667</v>
      </c>
      <c r="F1550" s="4" t="n">
        <v>0.7791666666666667</v>
      </c>
      <c r="G1550" s="3">
        <f>IF($E1550="","空卡",IF($F1550="","单卡","正常"))</f>
        <v/>
      </c>
      <c r="H1550" s="5">
        <f>IF($G1550="正常",ROUND(($F1550-$E1550)*1440,0),"")</f>
        <v/>
      </c>
      <c r="I1550" s="6">
        <f>IF($G1550="正常",$H1550/60,"")</f>
        <v/>
      </c>
      <c r="J1550" s="7">
        <f>IF($G1550="正常",ROUND($H1550/30,0)/2,"")</f>
        <v/>
      </c>
      <c r="K1550" s="7">
        <f>IF($G1550="正常",MIN($J1550,12),"")</f>
        <v/>
      </c>
      <c r="L1550" s="7">
        <f>IF($G1550="正常",MAX($J1550-12,0),"")</f>
        <v/>
      </c>
    </row>
    <row r="1551">
      <c r="A1551" s="8" t="inlineStr">
        <is>
          <t>朱传霞</t>
        </is>
      </c>
      <c r="B1551" s="8" t="inlineStr">
        <is>
          <t>8/31</t>
        </is>
      </c>
      <c r="C1551" s="8" t="inlineStr">
        <is>
          <t>一</t>
        </is>
      </c>
      <c r="D1551" s="8" t="inlineStr"/>
      <c r="E1551" s="9" t="n"/>
      <c r="F1551" s="9" t="n"/>
      <c r="G1551" s="10">
        <f>IF($E1551="","空卡",IF($F1551="","单卡","正常"))</f>
        <v/>
      </c>
      <c r="H1551" s="11">
        <f>IF($G1551="正常",ROUND(($F1551-$E1551)*1440,0),"")</f>
        <v/>
      </c>
      <c r="I1551" s="12">
        <f>IF($G1551="正常",$H1551/60,"")</f>
        <v/>
      </c>
      <c r="J1551" s="13">
        <f>IF($G1551="正常",ROUND($H1551/30,0)/2,"")</f>
        <v/>
      </c>
      <c r="K1551" s="13">
        <f>IF($G1551="正常",MIN($J1551,12),"")</f>
        <v/>
      </c>
      <c r="L1551" s="13">
        <f>IF($G1551="正常",MAX($J1551-12,0),"")</f>
        <v/>
      </c>
    </row>
    <row r="1552">
      <c r="A1552" s="8" t="inlineStr">
        <is>
          <t>胥世健</t>
        </is>
      </c>
      <c r="B1552" s="8" t="inlineStr">
        <is>
          <t>8/1</t>
        </is>
      </c>
      <c r="C1552" s="8" t="inlineStr">
        <is>
          <t>六</t>
        </is>
      </c>
      <c r="D1552" s="8" t="inlineStr"/>
      <c r="E1552" s="9" t="n"/>
      <c r="F1552" s="9" t="n"/>
      <c r="G1552" s="10">
        <f>IF($E1552="","空卡",IF($F1552="","单卡","正常"))</f>
        <v/>
      </c>
      <c r="H1552" s="11">
        <f>IF($G1552="正常",ROUND(($F1552-$E1552)*1440,0),"")</f>
        <v/>
      </c>
      <c r="I1552" s="12">
        <f>IF($G1552="正常",$H1552/60,"")</f>
        <v/>
      </c>
      <c r="J1552" s="13">
        <f>IF($G1552="正常",ROUND($H1552/30,0)/2,"")</f>
        <v/>
      </c>
      <c r="K1552" s="13">
        <f>IF($G1552="正常",MIN($J1552,12),"")</f>
        <v/>
      </c>
      <c r="L1552" s="13">
        <f>IF($G1552="正常",MAX($J1552-12,0),"")</f>
        <v/>
      </c>
    </row>
    <row r="1553">
      <c r="A1553" s="8" t="inlineStr">
        <is>
          <t>胥世健</t>
        </is>
      </c>
      <c r="B1553" s="8" t="inlineStr">
        <is>
          <t>8/2</t>
        </is>
      </c>
      <c r="C1553" s="8" t="inlineStr">
        <is>
          <t>日</t>
        </is>
      </c>
      <c r="D1553" s="8" t="inlineStr"/>
      <c r="E1553" s="9" t="n"/>
      <c r="F1553" s="9" t="n"/>
      <c r="G1553" s="10">
        <f>IF($E1553="","空卡",IF($F1553="","单卡","正常"))</f>
        <v/>
      </c>
      <c r="H1553" s="11">
        <f>IF($G1553="正常",ROUND(($F1553-$E1553)*1440,0),"")</f>
        <v/>
      </c>
      <c r="I1553" s="12">
        <f>IF($G1553="正常",$H1553/60,"")</f>
        <v/>
      </c>
      <c r="J1553" s="13">
        <f>IF($G1553="正常",ROUND($H1553/30,0)/2,"")</f>
        <v/>
      </c>
      <c r="K1553" s="13">
        <f>IF($G1553="正常",MIN($J1553,12),"")</f>
        <v/>
      </c>
      <c r="L1553" s="13">
        <f>IF($G1553="正常",MAX($J1553-12,0),"")</f>
        <v/>
      </c>
    </row>
    <row r="1554">
      <c r="A1554" s="8" t="inlineStr">
        <is>
          <t>胥世健</t>
        </is>
      </c>
      <c r="B1554" s="8" t="inlineStr">
        <is>
          <t>8/3</t>
        </is>
      </c>
      <c r="C1554" s="8" t="inlineStr">
        <is>
          <t>一</t>
        </is>
      </c>
      <c r="D1554" s="8" t="inlineStr"/>
      <c r="E1554" s="9" t="n"/>
      <c r="F1554" s="9" t="n"/>
      <c r="G1554" s="10">
        <f>IF($E1554="","空卡",IF($F1554="","单卡","正常"))</f>
        <v/>
      </c>
      <c r="H1554" s="11">
        <f>IF($G1554="正常",ROUND(($F1554-$E1554)*1440,0),"")</f>
        <v/>
      </c>
      <c r="I1554" s="12">
        <f>IF($G1554="正常",$H1554/60,"")</f>
        <v/>
      </c>
      <c r="J1554" s="13">
        <f>IF($G1554="正常",ROUND($H1554/30,0)/2,"")</f>
        <v/>
      </c>
      <c r="K1554" s="13">
        <f>IF($G1554="正常",MIN($J1554,12),"")</f>
        <v/>
      </c>
      <c r="L1554" s="13">
        <f>IF($G1554="正常",MAX($J1554-12,0),"")</f>
        <v/>
      </c>
    </row>
    <row r="1555">
      <c r="A1555" s="8" t="inlineStr">
        <is>
          <t>胥世健</t>
        </is>
      </c>
      <c r="B1555" s="8" t="inlineStr">
        <is>
          <t>8/4</t>
        </is>
      </c>
      <c r="C1555" s="8" t="inlineStr">
        <is>
          <t>二</t>
        </is>
      </c>
      <c r="D1555" s="8" t="inlineStr"/>
      <c r="E1555" s="9" t="n"/>
      <c r="F1555" s="9" t="n"/>
      <c r="G1555" s="10">
        <f>IF($E1555="","空卡",IF($F1555="","单卡","正常"))</f>
        <v/>
      </c>
      <c r="H1555" s="11">
        <f>IF($G1555="正常",ROUND(($F1555-$E1555)*1440,0),"")</f>
        <v/>
      </c>
      <c r="I1555" s="12">
        <f>IF($G1555="正常",$H1555/60,"")</f>
        <v/>
      </c>
      <c r="J1555" s="13">
        <f>IF($G1555="正常",ROUND($H1555/30,0)/2,"")</f>
        <v/>
      </c>
      <c r="K1555" s="13">
        <f>IF($G1555="正常",MIN($J1555,12),"")</f>
        <v/>
      </c>
      <c r="L1555" s="13">
        <f>IF($G1555="正常",MAX($J1555-12,0),"")</f>
        <v/>
      </c>
    </row>
    <row r="1556">
      <c r="A1556" s="8" t="inlineStr">
        <is>
          <t>胥世健</t>
        </is>
      </c>
      <c r="B1556" s="8" t="inlineStr">
        <is>
          <t>8/5</t>
        </is>
      </c>
      <c r="C1556" s="8" t="inlineStr">
        <is>
          <t>三</t>
        </is>
      </c>
      <c r="D1556" s="8" t="inlineStr"/>
      <c r="E1556" s="9" t="n"/>
      <c r="F1556" s="9" t="n"/>
      <c r="G1556" s="10">
        <f>IF($E1556="","空卡",IF($F1556="","单卡","正常"))</f>
        <v/>
      </c>
      <c r="H1556" s="11">
        <f>IF($G1556="正常",ROUND(($F1556-$E1556)*1440,0),"")</f>
        <v/>
      </c>
      <c r="I1556" s="12">
        <f>IF($G1556="正常",$H1556/60,"")</f>
        <v/>
      </c>
      <c r="J1556" s="13">
        <f>IF($G1556="正常",ROUND($H1556/30,0)/2,"")</f>
        <v/>
      </c>
      <c r="K1556" s="13">
        <f>IF($G1556="正常",MIN($J1556,12),"")</f>
        <v/>
      </c>
      <c r="L1556" s="13">
        <f>IF($G1556="正常",MAX($J1556-12,0),"")</f>
        <v/>
      </c>
    </row>
    <row r="1557">
      <c r="A1557" s="8" t="inlineStr">
        <is>
          <t>胥世健</t>
        </is>
      </c>
      <c r="B1557" s="8" t="inlineStr">
        <is>
          <t>8/6</t>
        </is>
      </c>
      <c r="C1557" s="8" t="inlineStr">
        <is>
          <t>四</t>
        </is>
      </c>
      <c r="D1557" s="8" t="inlineStr"/>
      <c r="E1557" s="9" t="n"/>
      <c r="F1557" s="9" t="n"/>
      <c r="G1557" s="10">
        <f>IF($E1557="","空卡",IF($F1557="","单卡","正常"))</f>
        <v/>
      </c>
      <c r="H1557" s="11">
        <f>IF($G1557="正常",ROUND(($F1557-$E1557)*1440,0),"")</f>
        <v/>
      </c>
      <c r="I1557" s="12">
        <f>IF($G1557="正常",$H1557/60,"")</f>
        <v/>
      </c>
      <c r="J1557" s="13">
        <f>IF($G1557="正常",ROUND($H1557/30,0)/2,"")</f>
        <v/>
      </c>
      <c r="K1557" s="13">
        <f>IF($G1557="正常",MIN($J1557,12),"")</f>
        <v/>
      </c>
      <c r="L1557" s="13">
        <f>IF($G1557="正常",MAX($J1557-12,0),"")</f>
        <v/>
      </c>
    </row>
    <row r="1558">
      <c r="A1558" s="8" t="inlineStr">
        <is>
          <t>胥世健</t>
        </is>
      </c>
      <c r="B1558" s="8" t="inlineStr">
        <is>
          <t>8/7</t>
        </is>
      </c>
      <c r="C1558" s="8" t="inlineStr">
        <is>
          <t>五</t>
        </is>
      </c>
      <c r="D1558" s="8" t="inlineStr"/>
      <c r="E1558" s="9" t="n"/>
      <c r="F1558" s="9" t="n"/>
      <c r="G1558" s="10">
        <f>IF($E1558="","空卡",IF($F1558="","单卡","正常"))</f>
        <v/>
      </c>
      <c r="H1558" s="11">
        <f>IF($G1558="正常",ROUND(($F1558-$E1558)*1440,0),"")</f>
        <v/>
      </c>
      <c r="I1558" s="12">
        <f>IF($G1558="正常",$H1558/60,"")</f>
        <v/>
      </c>
      <c r="J1558" s="13">
        <f>IF($G1558="正常",ROUND($H1558/30,0)/2,"")</f>
        <v/>
      </c>
      <c r="K1558" s="13">
        <f>IF($G1558="正常",MIN($J1558,12),"")</f>
        <v/>
      </c>
      <c r="L1558" s="13">
        <f>IF($G1558="正常",MAX($J1558-12,0),"")</f>
        <v/>
      </c>
    </row>
    <row r="1559">
      <c r="A1559" s="8" t="inlineStr">
        <is>
          <t>胥世健</t>
        </is>
      </c>
      <c r="B1559" s="8" t="inlineStr">
        <is>
          <t>8/8</t>
        </is>
      </c>
      <c r="C1559" s="8" t="inlineStr">
        <is>
          <t>六</t>
        </is>
      </c>
      <c r="D1559" s="8" t="inlineStr"/>
      <c r="E1559" s="9" t="n"/>
      <c r="F1559" s="9" t="n"/>
      <c r="G1559" s="10">
        <f>IF($E1559="","空卡",IF($F1559="","单卡","正常"))</f>
        <v/>
      </c>
      <c r="H1559" s="11">
        <f>IF($G1559="正常",ROUND(($F1559-$E1559)*1440,0),"")</f>
        <v/>
      </c>
      <c r="I1559" s="12">
        <f>IF($G1559="正常",$H1559/60,"")</f>
        <v/>
      </c>
      <c r="J1559" s="13">
        <f>IF($G1559="正常",ROUND($H1559/30,0)/2,"")</f>
        <v/>
      </c>
      <c r="K1559" s="13">
        <f>IF($G1559="正常",MIN($J1559,12),"")</f>
        <v/>
      </c>
      <c r="L1559" s="13">
        <f>IF($G1559="正常",MAX($J1559-12,0),"")</f>
        <v/>
      </c>
    </row>
    <row r="1560">
      <c r="A1560" s="8" t="inlineStr">
        <is>
          <t>胥世健</t>
        </is>
      </c>
      <c r="B1560" s="8" t="inlineStr">
        <is>
          <t>8/9</t>
        </is>
      </c>
      <c r="C1560" s="8" t="inlineStr">
        <is>
          <t>日</t>
        </is>
      </c>
      <c r="D1560" s="8" t="inlineStr"/>
      <c r="E1560" s="9" t="n"/>
      <c r="F1560" s="9" t="n"/>
      <c r="G1560" s="10">
        <f>IF($E1560="","空卡",IF($F1560="","单卡","正常"))</f>
        <v/>
      </c>
      <c r="H1560" s="11">
        <f>IF($G1560="正常",ROUND(($F1560-$E1560)*1440,0),"")</f>
        <v/>
      </c>
      <c r="I1560" s="12">
        <f>IF($G1560="正常",$H1560/60,"")</f>
        <v/>
      </c>
      <c r="J1560" s="13">
        <f>IF($G1560="正常",ROUND($H1560/30,0)/2,"")</f>
        <v/>
      </c>
      <c r="K1560" s="13">
        <f>IF($G1560="正常",MIN($J1560,12),"")</f>
        <v/>
      </c>
      <c r="L1560" s="13">
        <f>IF($G1560="正常",MAX($J1560-12,0),"")</f>
        <v/>
      </c>
    </row>
    <row r="1561">
      <c r="A1561" s="8" t="inlineStr">
        <is>
          <t>胥世健</t>
        </is>
      </c>
      <c r="B1561" s="8" t="inlineStr">
        <is>
          <t>8/10</t>
        </is>
      </c>
      <c r="C1561" s="8" t="inlineStr">
        <is>
          <t>一</t>
        </is>
      </c>
      <c r="D1561" s="8" t="inlineStr"/>
      <c r="E1561" s="9" t="n"/>
      <c r="F1561" s="9" t="n"/>
      <c r="G1561" s="10">
        <f>IF($E1561="","空卡",IF($F1561="","单卡","正常"))</f>
        <v/>
      </c>
      <c r="H1561" s="11">
        <f>IF($G1561="正常",ROUND(($F1561-$E1561)*1440,0),"")</f>
        <v/>
      </c>
      <c r="I1561" s="12">
        <f>IF($G1561="正常",$H1561/60,"")</f>
        <v/>
      </c>
      <c r="J1561" s="13">
        <f>IF($G1561="正常",ROUND($H1561/30,0)/2,"")</f>
        <v/>
      </c>
      <c r="K1561" s="13">
        <f>IF($G1561="正常",MIN($J1561,12),"")</f>
        <v/>
      </c>
      <c r="L1561" s="13">
        <f>IF($G1561="正常",MAX($J1561-12,0),"")</f>
        <v/>
      </c>
    </row>
    <row r="1562">
      <c r="A1562" s="8" t="inlineStr">
        <is>
          <t>胥世健</t>
        </is>
      </c>
      <c r="B1562" s="8" t="inlineStr">
        <is>
          <t>8/11</t>
        </is>
      </c>
      <c r="C1562" s="8" t="inlineStr">
        <is>
          <t>二</t>
        </is>
      </c>
      <c r="D1562" s="8" t="inlineStr"/>
      <c r="E1562" s="9" t="n"/>
      <c r="F1562" s="9" t="n"/>
      <c r="G1562" s="10">
        <f>IF($E1562="","空卡",IF($F1562="","单卡","正常"))</f>
        <v/>
      </c>
      <c r="H1562" s="11">
        <f>IF($G1562="正常",ROUND(($F1562-$E1562)*1440,0),"")</f>
        <v/>
      </c>
      <c r="I1562" s="12">
        <f>IF($G1562="正常",$H1562/60,"")</f>
        <v/>
      </c>
      <c r="J1562" s="13">
        <f>IF($G1562="正常",ROUND($H1562/30,0)/2,"")</f>
        <v/>
      </c>
      <c r="K1562" s="13">
        <f>IF($G1562="正常",MIN($J1562,12),"")</f>
        <v/>
      </c>
      <c r="L1562" s="13">
        <f>IF($G1562="正常",MAX($J1562-12,0),"")</f>
        <v/>
      </c>
    </row>
    <row r="1563">
      <c r="A1563" s="8" t="inlineStr">
        <is>
          <t>胥世健</t>
        </is>
      </c>
      <c r="B1563" s="8" t="inlineStr">
        <is>
          <t>8/12</t>
        </is>
      </c>
      <c r="C1563" s="8" t="inlineStr">
        <is>
          <t>三</t>
        </is>
      </c>
      <c r="D1563" s="8" t="inlineStr"/>
      <c r="E1563" s="9" t="n"/>
      <c r="F1563" s="9" t="n"/>
      <c r="G1563" s="10">
        <f>IF($E1563="","空卡",IF($F1563="","单卡","正常"))</f>
        <v/>
      </c>
      <c r="H1563" s="11">
        <f>IF($G1563="正常",ROUND(($F1563-$E1563)*1440,0),"")</f>
        <v/>
      </c>
      <c r="I1563" s="12">
        <f>IF($G1563="正常",$H1563/60,"")</f>
        <v/>
      </c>
      <c r="J1563" s="13">
        <f>IF($G1563="正常",ROUND($H1563/30,0)/2,"")</f>
        <v/>
      </c>
      <c r="K1563" s="13">
        <f>IF($G1563="正常",MIN($J1563,12),"")</f>
        <v/>
      </c>
      <c r="L1563" s="13">
        <f>IF($G1563="正常",MAX($J1563-12,0),"")</f>
        <v/>
      </c>
    </row>
    <row r="1564">
      <c r="A1564" s="8" t="inlineStr">
        <is>
          <t>胥世健</t>
        </is>
      </c>
      <c r="B1564" s="8" t="inlineStr">
        <is>
          <t>8/13</t>
        </is>
      </c>
      <c r="C1564" s="8" t="inlineStr">
        <is>
          <t>四</t>
        </is>
      </c>
      <c r="D1564" s="8" t="inlineStr"/>
      <c r="E1564" s="9" t="n"/>
      <c r="F1564" s="9" t="n"/>
      <c r="G1564" s="10">
        <f>IF($E1564="","空卡",IF($F1564="","单卡","正常"))</f>
        <v/>
      </c>
      <c r="H1564" s="11">
        <f>IF($G1564="正常",ROUND(($F1564-$E1564)*1440,0),"")</f>
        <v/>
      </c>
      <c r="I1564" s="12">
        <f>IF($G1564="正常",$H1564/60,"")</f>
        <v/>
      </c>
      <c r="J1564" s="13">
        <f>IF($G1564="正常",ROUND($H1564/30,0)/2,"")</f>
        <v/>
      </c>
      <c r="K1564" s="13">
        <f>IF($G1564="正常",MIN($J1564,12),"")</f>
        <v/>
      </c>
      <c r="L1564" s="13">
        <f>IF($G1564="正常",MAX($J1564-12,0),"")</f>
        <v/>
      </c>
    </row>
    <row r="1565">
      <c r="A1565" s="8" t="inlineStr">
        <is>
          <t>胥世健</t>
        </is>
      </c>
      <c r="B1565" s="8" t="inlineStr">
        <is>
          <t>8/14</t>
        </is>
      </c>
      <c r="C1565" s="8" t="inlineStr">
        <is>
          <t>五</t>
        </is>
      </c>
      <c r="D1565" s="8" t="inlineStr"/>
      <c r="E1565" s="9" t="n"/>
      <c r="F1565" s="9" t="n"/>
      <c r="G1565" s="10">
        <f>IF($E1565="","空卡",IF($F1565="","单卡","正常"))</f>
        <v/>
      </c>
      <c r="H1565" s="11">
        <f>IF($G1565="正常",ROUND(($F1565-$E1565)*1440,0),"")</f>
        <v/>
      </c>
      <c r="I1565" s="12">
        <f>IF($G1565="正常",$H1565/60,"")</f>
        <v/>
      </c>
      <c r="J1565" s="13">
        <f>IF($G1565="正常",ROUND($H1565/30,0)/2,"")</f>
        <v/>
      </c>
      <c r="K1565" s="13">
        <f>IF($G1565="正常",MIN($J1565,12),"")</f>
        <v/>
      </c>
      <c r="L1565" s="13">
        <f>IF($G1565="正常",MAX($J1565-12,0),"")</f>
        <v/>
      </c>
    </row>
    <row r="1566">
      <c r="A1566" s="8" t="inlineStr">
        <is>
          <t>胥世健</t>
        </is>
      </c>
      <c r="B1566" s="8" t="inlineStr">
        <is>
          <t>8/15</t>
        </is>
      </c>
      <c r="C1566" s="8" t="inlineStr">
        <is>
          <t>六</t>
        </is>
      </c>
      <c r="D1566" s="8" t="inlineStr"/>
      <c r="E1566" s="9" t="n"/>
      <c r="F1566" s="9" t="n"/>
      <c r="G1566" s="10">
        <f>IF($E1566="","空卡",IF($F1566="","单卡","正常"))</f>
        <v/>
      </c>
      <c r="H1566" s="11">
        <f>IF($G1566="正常",ROUND(($F1566-$E1566)*1440,0),"")</f>
        <v/>
      </c>
      <c r="I1566" s="12">
        <f>IF($G1566="正常",$H1566/60,"")</f>
        <v/>
      </c>
      <c r="J1566" s="13">
        <f>IF($G1566="正常",ROUND($H1566/30,0)/2,"")</f>
        <v/>
      </c>
      <c r="K1566" s="13">
        <f>IF($G1566="正常",MIN($J1566,12),"")</f>
        <v/>
      </c>
      <c r="L1566" s="13">
        <f>IF($G1566="正常",MAX($J1566-12,0),"")</f>
        <v/>
      </c>
    </row>
    <row r="1567">
      <c r="A1567" s="8" t="inlineStr">
        <is>
          <t>胥世健</t>
        </is>
      </c>
      <c r="B1567" s="8" t="inlineStr">
        <is>
          <t>8/16</t>
        </is>
      </c>
      <c r="C1567" s="8" t="inlineStr">
        <is>
          <t>日</t>
        </is>
      </c>
      <c r="D1567" s="8" t="inlineStr"/>
      <c r="E1567" s="9" t="n"/>
      <c r="F1567" s="9" t="n"/>
      <c r="G1567" s="10">
        <f>IF($E1567="","空卡",IF($F1567="","单卡","正常"))</f>
        <v/>
      </c>
      <c r="H1567" s="11">
        <f>IF($G1567="正常",ROUND(($F1567-$E1567)*1440,0),"")</f>
        <v/>
      </c>
      <c r="I1567" s="12">
        <f>IF($G1567="正常",$H1567/60,"")</f>
        <v/>
      </c>
      <c r="J1567" s="13">
        <f>IF($G1567="正常",ROUND($H1567/30,0)/2,"")</f>
        <v/>
      </c>
      <c r="K1567" s="13">
        <f>IF($G1567="正常",MIN($J1567,12),"")</f>
        <v/>
      </c>
      <c r="L1567" s="13">
        <f>IF($G1567="正常",MAX($J1567-12,0),"")</f>
        <v/>
      </c>
    </row>
    <row r="1568">
      <c r="A1568" s="8" t="inlineStr">
        <is>
          <t>胥世健</t>
        </is>
      </c>
      <c r="B1568" s="8" t="inlineStr">
        <is>
          <t>8/17</t>
        </is>
      </c>
      <c r="C1568" s="8" t="inlineStr">
        <is>
          <t>一</t>
        </is>
      </c>
      <c r="D1568" s="8" t="inlineStr"/>
      <c r="E1568" s="9" t="n"/>
      <c r="F1568" s="9" t="n"/>
      <c r="G1568" s="10">
        <f>IF($E1568="","空卡",IF($F1568="","单卡","正常"))</f>
        <v/>
      </c>
      <c r="H1568" s="11">
        <f>IF($G1568="正常",ROUND(($F1568-$E1568)*1440,0),"")</f>
        <v/>
      </c>
      <c r="I1568" s="12">
        <f>IF($G1568="正常",$H1568/60,"")</f>
        <v/>
      </c>
      <c r="J1568" s="13">
        <f>IF($G1568="正常",ROUND($H1568/30,0)/2,"")</f>
        <v/>
      </c>
      <c r="K1568" s="13">
        <f>IF($G1568="正常",MIN($J1568,12),"")</f>
        <v/>
      </c>
      <c r="L1568" s="13">
        <f>IF($G1568="正常",MAX($J1568-12,0),"")</f>
        <v/>
      </c>
    </row>
    <row r="1569">
      <c r="A1569" s="8" t="inlineStr">
        <is>
          <t>胥世健</t>
        </is>
      </c>
      <c r="B1569" s="8" t="inlineStr">
        <is>
          <t>8/18</t>
        </is>
      </c>
      <c r="C1569" s="8" t="inlineStr">
        <is>
          <t>二</t>
        </is>
      </c>
      <c r="D1569" s="8" t="inlineStr"/>
      <c r="E1569" s="9" t="n"/>
      <c r="F1569" s="9" t="n"/>
      <c r="G1569" s="10">
        <f>IF($E1569="","空卡",IF($F1569="","单卡","正常"))</f>
        <v/>
      </c>
      <c r="H1569" s="11">
        <f>IF($G1569="正常",ROUND(($F1569-$E1569)*1440,0),"")</f>
        <v/>
      </c>
      <c r="I1569" s="12">
        <f>IF($G1569="正常",$H1569/60,"")</f>
        <v/>
      </c>
      <c r="J1569" s="13">
        <f>IF($G1569="正常",ROUND($H1569/30,0)/2,"")</f>
        <v/>
      </c>
      <c r="K1569" s="13">
        <f>IF($G1569="正常",MIN($J1569,12),"")</f>
        <v/>
      </c>
      <c r="L1569" s="13">
        <f>IF($G1569="正常",MAX($J1569-12,0),"")</f>
        <v/>
      </c>
    </row>
    <row r="1570">
      <c r="A1570" s="8" t="inlineStr">
        <is>
          <t>胥世健</t>
        </is>
      </c>
      <c r="B1570" s="8" t="inlineStr">
        <is>
          <t>8/19</t>
        </is>
      </c>
      <c r="C1570" s="8" t="inlineStr">
        <is>
          <t>三</t>
        </is>
      </c>
      <c r="D1570" s="8" t="inlineStr"/>
      <c r="E1570" s="9" t="n"/>
      <c r="F1570" s="9" t="n"/>
      <c r="G1570" s="10">
        <f>IF($E1570="","空卡",IF($F1570="","单卡","正常"))</f>
        <v/>
      </c>
      <c r="H1570" s="11">
        <f>IF($G1570="正常",ROUND(($F1570-$E1570)*1440,0),"")</f>
        <v/>
      </c>
      <c r="I1570" s="12">
        <f>IF($G1570="正常",$H1570/60,"")</f>
        <v/>
      </c>
      <c r="J1570" s="13">
        <f>IF($G1570="正常",ROUND($H1570/30,0)/2,"")</f>
        <v/>
      </c>
      <c r="K1570" s="13">
        <f>IF($G1570="正常",MIN($J1570,12),"")</f>
        <v/>
      </c>
      <c r="L1570" s="13">
        <f>IF($G1570="正常",MAX($J1570-12,0),"")</f>
        <v/>
      </c>
    </row>
    <row r="1571">
      <c r="A1571" s="8" t="inlineStr">
        <is>
          <t>胥世健</t>
        </is>
      </c>
      <c r="B1571" s="8" t="inlineStr">
        <is>
          <t>8/20</t>
        </is>
      </c>
      <c r="C1571" s="8" t="inlineStr">
        <is>
          <t>四</t>
        </is>
      </c>
      <c r="D1571" s="8" t="inlineStr"/>
      <c r="E1571" s="9" t="n"/>
      <c r="F1571" s="9" t="n"/>
      <c r="G1571" s="10">
        <f>IF($E1571="","空卡",IF($F1571="","单卡","正常"))</f>
        <v/>
      </c>
      <c r="H1571" s="11">
        <f>IF($G1571="正常",ROUND(($F1571-$E1571)*1440,0),"")</f>
        <v/>
      </c>
      <c r="I1571" s="12">
        <f>IF($G1571="正常",$H1571/60,"")</f>
        <v/>
      </c>
      <c r="J1571" s="13">
        <f>IF($G1571="正常",ROUND($H1571/30,0)/2,"")</f>
        <v/>
      </c>
      <c r="K1571" s="13">
        <f>IF($G1571="正常",MIN($J1571,12),"")</f>
        <v/>
      </c>
      <c r="L1571" s="13">
        <f>IF($G1571="正常",MAX($J1571-12,0),"")</f>
        <v/>
      </c>
    </row>
    <row r="1572">
      <c r="A1572" s="8" t="inlineStr">
        <is>
          <t>胥世健</t>
        </is>
      </c>
      <c r="B1572" s="8" t="inlineStr">
        <is>
          <t>8/21</t>
        </is>
      </c>
      <c r="C1572" s="8" t="inlineStr">
        <is>
          <t>五</t>
        </is>
      </c>
      <c r="D1572" s="8" t="inlineStr"/>
      <c r="E1572" s="9" t="n"/>
      <c r="F1572" s="9" t="n"/>
      <c r="G1572" s="10">
        <f>IF($E1572="","空卡",IF($F1572="","单卡","正常"))</f>
        <v/>
      </c>
      <c r="H1572" s="11">
        <f>IF($G1572="正常",ROUND(($F1572-$E1572)*1440,0),"")</f>
        <v/>
      </c>
      <c r="I1572" s="12">
        <f>IF($G1572="正常",$H1572/60,"")</f>
        <v/>
      </c>
      <c r="J1572" s="13">
        <f>IF($G1572="正常",ROUND($H1572/30,0)/2,"")</f>
        <v/>
      </c>
      <c r="K1572" s="13">
        <f>IF($G1572="正常",MIN($J1572,12),"")</f>
        <v/>
      </c>
      <c r="L1572" s="13">
        <f>IF($G1572="正常",MAX($J1572-12,0),"")</f>
        <v/>
      </c>
    </row>
    <row r="1573">
      <c r="A1573" s="8" t="inlineStr">
        <is>
          <t>胥世健</t>
        </is>
      </c>
      <c r="B1573" s="8" t="inlineStr">
        <is>
          <t>8/22</t>
        </is>
      </c>
      <c r="C1573" s="8" t="inlineStr">
        <is>
          <t>六</t>
        </is>
      </c>
      <c r="D1573" s="8" t="inlineStr"/>
      <c r="E1573" s="9" t="n"/>
      <c r="F1573" s="9" t="n"/>
      <c r="G1573" s="10">
        <f>IF($E1573="","空卡",IF($F1573="","单卡","正常"))</f>
        <v/>
      </c>
      <c r="H1573" s="11">
        <f>IF($G1573="正常",ROUND(($F1573-$E1573)*1440,0),"")</f>
        <v/>
      </c>
      <c r="I1573" s="12">
        <f>IF($G1573="正常",$H1573/60,"")</f>
        <v/>
      </c>
      <c r="J1573" s="13">
        <f>IF($G1573="正常",ROUND($H1573/30,0)/2,"")</f>
        <v/>
      </c>
      <c r="K1573" s="13">
        <f>IF($G1573="正常",MIN($J1573,12),"")</f>
        <v/>
      </c>
      <c r="L1573" s="13">
        <f>IF($G1573="正常",MAX($J1573-12,0),"")</f>
        <v/>
      </c>
    </row>
    <row r="1574">
      <c r="A1574" s="8" t="inlineStr">
        <is>
          <t>胥世健</t>
        </is>
      </c>
      <c r="B1574" s="8" t="inlineStr">
        <is>
          <t>8/23</t>
        </is>
      </c>
      <c r="C1574" s="8" t="inlineStr">
        <is>
          <t>日</t>
        </is>
      </c>
      <c r="D1574" s="8" t="inlineStr"/>
      <c r="E1574" s="9" t="n"/>
      <c r="F1574" s="9" t="n"/>
      <c r="G1574" s="10">
        <f>IF($E1574="","空卡",IF($F1574="","单卡","正常"))</f>
        <v/>
      </c>
      <c r="H1574" s="11">
        <f>IF($G1574="正常",ROUND(($F1574-$E1574)*1440,0),"")</f>
        <v/>
      </c>
      <c r="I1574" s="12">
        <f>IF($G1574="正常",$H1574/60,"")</f>
        <v/>
      </c>
      <c r="J1574" s="13">
        <f>IF($G1574="正常",ROUND($H1574/30,0)/2,"")</f>
        <v/>
      </c>
      <c r="K1574" s="13">
        <f>IF($G1574="正常",MIN($J1574,12),"")</f>
        <v/>
      </c>
      <c r="L1574" s="13">
        <f>IF($G1574="正常",MAX($J1574-12,0),"")</f>
        <v/>
      </c>
    </row>
    <row r="1575">
      <c r="A1575" s="8" t="inlineStr">
        <is>
          <t>胥世健</t>
        </is>
      </c>
      <c r="B1575" s="8" t="inlineStr">
        <is>
          <t>8/24</t>
        </is>
      </c>
      <c r="C1575" s="8" t="inlineStr">
        <is>
          <t>一</t>
        </is>
      </c>
      <c r="D1575" s="8" t="inlineStr"/>
      <c r="E1575" s="9" t="n"/>
      <c r="F1575" s="9" t="n"/>
      <c r="G1575" s="10">
        <f>IF($E1575="","空卡",IF($F1575="","单卡","正常"))</f>
        <v/>
      </c>
      <c r="H1575" s="11">
        <f>IF($G1575="正常",ROUND(($F1575-$E1575)*1440,0),"")</f>
        <v/>
      </c>
      <c r="I1575" s="12">
        <f>IF($G1575="正常",$H1575/60,"")</f>
        <v/>
      </c>
      <c r="J1575" s="13">
        <f>IF($G1575="正常",ROUND($H1575/30,0)/2,"")</f>
        <v/>
      </c>
      <c r="K1575" s="13">
        <f>IF($G1575="正常",MIN($J1575,12),"")</f>
        <v/>
      </c>
      <c r="L1575" s="13">
        <f>IF($G1575="正常",MAX($J1575-12,0),"")</f>
        <v/>
      </c>
    </row>
    <row r="1576">
      <c r="A1576" s="8" t="inlineStr">
        <is>
          <t>胥世健</t>
        </is>
      </c>
      <c r="B1576" s="8" t="inlineStr">
        <is>
          <t>8/25</t>
        </is>
      </c>
      <c r="C1576" s="8" t="inlineStr">
        <is>
          <t>二</t>
        </is>
      </c>
      <c r="D1576" s="8" t="inlineStr"/>
      <c r="E1576" s="9" t="n"/>
      <c r="F1576" s="9" t="n"/>
      <c r="G1576" s="10">
        <f>IF($E1576="","空卡",IF($F1576="","单卡","正常"))</f>
        <v/>
      </c>
      <c r="H1576" s="11">
        <f>IF($G1576="正常",ROUND(($F1576-$E1576)*1440,0),"")</f>
        <v/>
      </c>
      <c r="I1576" s="12">
        <f>IF($G1576="正常",$H1576/60,"")</f>
        <v/>
      </c>
      <c r="J1576" s="13">
        <f>IF($G1576="正常",ROUND($H1576/30,0)/2,"")</f>
        <v/>
      </c>
      <c r="K1576" s="13">
        <f>IF($G1576="正常",MIN($J1576,12),"")</f>
        <v/>
      </c>
      <c r="L1576" s="13">
        <f>IF($G1576="正常",MAX($J1576-12,0),"")</f>
        <v/>
      </c>
    </row>
    <row r="1577">
      <c r="A1577" s="8" t="inlineStr">
        <is>
          <t>胥世健</t>
        </is>
      </c>
      <c r="B1577" s="8" t="inlineStr">
        <is>
          <t>8/26</t>
        </is>
      </c>
      <c r="C1577" s="8" t="inlineStr">
        <is>
          <t>三</t>
        </is>
      </c>
      <c r="D1577" s="8" t="inlineStr"/>
      <c r="E1577" s="9" t="n"/>
      <c r="F1577" s="9" t="n"/>
      <c r="G1577" s="10">
        <f>IF($E1577="","空卡",IF($F1577="","单卡","正常"))</f>
        <v/>
      </c>
      <c r="H1577" s="11">
        <f>IF($G1577="正常",ROUND(($F1577-$E1577)*1440,0),"")</f>
        <v/>
      </c>
      <c r="I1577" s="12">
        <f>IF($G1577="正常",$H1577/60,"")</f>
        <v/>
      </c>
      <c r="J1577" s="13">
        <f>IF($G1577="正常",ROUND($H1577/30,0)/2,"")</f>
        <v/>
      </c>
      <c r="K1577" s="13">
        <f>IF($G1577="正常",MIN($J1577,12),"")</f>
        <v/>
      </c>
      <c r="L1577" s="13">
        <f>IF($G1577="正常",MAX($J1577-12,0),"")</f>
        <v/>
      </c>
    </row>
    <row r="1578">
      <c r="A1578" s="8" t="inlineStr">
        <is>
          <t>胥世健</t>
        </is>
      </c>
      <c r="B1578" s="8" t="inlineStr">
        <is>
          <t>8/27</t>
        </is>
      </c>
      <c r="C1578" s="8" t="inlineStr">
        <is>
          <t>四</t>
        </is>
      </c>
      <c r="D1578" s="8" t="inlineStr"/>
      <c r="E1578" s="9" t="n"/>
      <c r="F1578" s="9" t="n"/>
      <c r="G1578" s="10">
        <f>IF($E1578="","空卡",IF($F1578="","单卡","正常"))</f>
        <v/>
      </c>
      <c r="H1578" s="11">
        <f>IF($G1578="正常",ROUND(($F1578-$E1578)*1440,0),"")</f>
        <v/>
      </c>
      <c r="I1578" s="12">
        <f>IF($G1578="正常",$H1578/60,"")</f>
        <v/>
      </c>
      <c r="J1578" s="13">
        <f>IF($G1578="正常",ROUND($H1578/30,0)/2,"")</f>
        <v/>
      </c>
      <c r="K1578" s="13">
        <f>IF($G1578="正常",MIN($J1578,12),"")</f>
        <v/>
      </c>
      <c r="L1578" s="13">
        <f>IF($G1578="正常",MAX($J1578-12,0),"")</f>
        <v/>
      </c>
    </row>
    <row r="1579">
      <c r="A1579" s="8" t="inlineStr">
        <is>
          <t>胥世健</t>
        </is>
      </c>
      <c r="B1579" s="8" t="inlineStr">
        <is>
          <t>8/28</t>
        </is>
      </c>
      <c r="C1579" s="8" t="inlineStr">
        <is>
          <t>五</t>
        </is>
      </c>
      <c r="D1579" s="8" t="inlineStr"/>
      <c r="E1579" s="9" t="n"/>
      <c r="F1579" s="9" t="n"/>
      <c r="G1579" s="10">
        <f>IF($E1579="","空卡",IF($F1579="","单卡","正常"))</f>
        <v/>
      </c>
      <c r="H1579" s="11">
        <f>IF($G1579="正常",ROUND(($F1579-$E1579)*1440,0),"")</f>
        <v/>
      </c>
      <c r="I1579" s="12">
        <f>IF($G1579="正常",$H1579/60,"")</f>
        <v/>
      </c>
      <c r="J1579" s="13">
        <f>IF($G1579="正常",ROUND($H1579/30,0)/2,"")</f>
        <v/>
      </c>
      <c r="K1579" s="13">
        <f>IF($G1579="正常",MIN($J1579,12),"")</f>
        <v/>
      </c>
      <c r="L1579" s="13">
        <f>IF($G1579="正常",MAX($J1579-12,0),"")</f>
        <v/>
      </c>
    </row>
    <row r="1580">
      <c r="A1580" s="8" t="inlineStr">
        <is>
          <t>胥世健</t>
        </is>
      </c>
      <c r="B1580" s="8" t="inlineStr">
        <is>
          <t>8/29</t>
        </is>
      </c>
      <c r="C1580" s="8" t="inlineStr">
        <is>
          <t>六</t>
        </is>
      </c>
      <c r="D1580" s="8" t="inlineStr"/>
      <c r="E1580" s="9" t="n"/>
      <c r="F1580" s="9" t="n"/>
      <c r="G1580" s="10">
        <f>IF($E1580="","空卡",IF($F1580="","单卡","正常"))</f>
        <v/>
      </c>
      <c r="H1580" s="11">
        <f>IF($G1580="正常",ROUND(($F1580-$E1580)*1440,0),"")</f>
        <v/>
      </c>
      <c r="I1580" s="12">
        <f>IF($G1580="正常",$H1580/60,"")</f>
        <v/>
      </c>
      <c r="J1580" s="13">
        <f>IF($G1580="正常",ROUND($H1580/30,0)/2,"")</f>
        <v/>
      </c>
      <c r="K1580" s="13">
        <f>IF($G1580="正常",MIN($J1580,12),"")</f>
        <v/>
      </c>
      <c r="L1580" s="13">
        <f>IF($G1580="正常",MAX($J1580-12,0),"")</f>
        <v/>
      </c>
    </row>
    <row r="1581">
      <c r="A1581" s="8" t="inlineStr">
        <is>
          <t>胥世健</t>
        </is>
      </c>
      <c r="B1581" s="8" t="inlineStr">
        <is>
          <t>8/30</t>
        </is>
      </c>
      <c r="C1581" s="8" t="inlineStr">
        <is>
          <t>日</t>
        </is>
      </c>
      <c r="D1581" s="8" t="inlineStr"/>
      <c r="E1581" s="9" t="n"/>
      <c r="F1581" s="9" t="n"/>
      <c r="G1581" s="10">
        <f>IF($E1581="","空卡",IF($F1581="","单卡","正常"))</f>
        <v/>
      </c>
      <c r="H1581" s="11">
        <f>IF($G1581="正常",ROUND(($F1581-$E1581)*1440,0),"")</f>
        <v/>
      </c>
      <c r="I1581" s="12">
        <f>IF($G1581="正常",$H1581/60,"")</f>
        <v/>
      </c>
      <c r="J1581" s="13">
        <f>IF($G1581="正常",ROUND($H1581/30,0)/2,"")</f>
        <v/>
      </c>
      <c r="K1581" s="13">
        <f>IF($G1581="正常",MIN($J1581,12),"")</f>
        <v/>
      </c>
      <c r="L1581" s="13">
        <f>IF($G1581="正常",MAX($J1581-12,0),"")</f>
        <v/>
      </c>
    </row>
    <row r="1582">
      <c r="A1582" s="8" t="inlineStr">
        <is>
          <t>胥世健</t>
        </is>
      </c>
      <c r="B1582" s="8" t="inlineStr">
        <is>
          <t>8/31</t>
        </is>
      </c>
      <c r="C1582" s="8" t="inlineStr">
        <is>
          <t>一</t>
        </is>
      </c>
      <c r="D1582" s="8" t="inlineStr"/>
      <c r="E1582" s="9" t="n"/>
      <c r="F1582" s="9" t="n"/>
      <c r="G1582" s="10">
        <f>IF($E1582="","空卡",IF($F1582="","单卡","正常"))</f>
        <v/>
      </c>
      <c r="H1582" s="11">
        <f>IF($G1582="正常",ROUND(($F1582-$E1582)*1440,0),"")</f>
        <v/>
      </c>
      <c r="I1582" s="12">
        <f>IF($G1582="正常",$H1582/60,"")</f>
        <v/>
      </c>
      <c r="J1582" s="13">
        <f>IF($G1582="正常",ROUND($H1582/30,0)/2,"")</f>
        <v/>
      </c>
      <c r="K1582" s="13">
        <f>IF($G1582="正常",MIN($J1582,12),"")</f>
        <v/>
      </c>
      <c r="L1582" s="13">
        <f>IF($G1582="正常",MAX($J1582-12,0),"")</f>
        <v/>
      </c>
    </row>
    <row r="1583">
      <c r="A1583" s="3" t="inlineStr">
        <is>
          <t>肖成英</t>
        </is>
      </c>
      <c r="B1583" s="3" t="inlineStr">
        <is>
          <t>8/1</t>
        </is>
      </c>
      <c r="C1583" s="3" t="inlineStr">
        <is>
          <t>六</t>
        </is>
      </c>
      <c r="D1583" s="3" t="inlineStr">
        <is>
          <t>07:54 17:21</t>
        </is>
      </c>
      <c r="E1583" s="4" t="n">
        <v>0.3291666666666667</v>
      </c>
      <c r="F1583" s="4" t="n">
        <v>0.7229166666666667</v>
      </c>
      <c r="G1583" s="3">
        <f>IF($E1583="","空卡",IF($F1583="","单卡","正常"))</f>
        <v/>
      </c>
      <c r="H1583" s="5">
        <f>IF($G1583="正常",ROUND(($F1583-$E1583)*1440,0),"")</f>
        <v/>
      </c>
      <c r="I1583" s="6">
        <f>IF($G1583="正常",$H1583/60,"")</f>
        <v/>
      </c>
      <c r="J1583" s="7">
        <f>IF($G1583="正常",ROUND($H1583/30,0)/2,"")</f>
        <v/>
      </c>
      <c r="K1583" s="7">
        <f>IF($G1583="正常",MIN($J1583,12),"")</f>
        <v/>
      </c>
      <c r="L1583" s="7">
        <f>IF($G1583="正常",MAX($J1583-12,0),"")</f>
        <v/>
      </c>
    </row>
    <row r="1584">
      <c r="A1584" s="3" t="inlineStr">
        <is>
          <t>肖成英</t>
        </is>
      </c>
      <c r="B1584" s="3" t="inlineStr">
        <is>
          <t>8/2</t>
        </is>
      </c>
      <c r="C1584" s="3" t="inlineStr">
        <is>
          <t>日</t>
        </is>
      </c>
      <c r="D1584" s="3" t="inlineStr">
        <is>
          <t>07:53 14:59</t>
        </is>
      </c>
      <c r="E1584" s="4" t="n">
        <v>0.3284722222222222</v>
      </c>
      <c r="F1584" s="4" t="n">
        <v>0.6243055555555556</v>
      </c>
      <c r="G1584" s="3">
        <f>IF($E1584="","空卡",IF($F1584="","单卡","正常"))</f>
        <v/>
      </c>
      <c r="H1584" s="5">
        <f>IF($G1584="正常",ROUND(($F1584-$E1584)*1440,0),"")</f>
        <v/>
      </c>
      <c r="I1584" s="6">
        <f>IF($G1584="正常",$H1584/60,"")</f>
        <v/>
      </c>
      <c r="J1584" s="7">
        <f>IF($G1584="正常",ROUND($H1584/30,0)/2,"")</f>
        <v/>
      </c>
      <c r="K1584" s="7">
        <f>IF($G1584="正常",MIN($J1584,12),"")</f>
        <v/>
      </c>
      <c r="L1584" s="7">
        <f>IF($G1584="正常",MAX($J1584-12,0),"")</f>
        <v/>
      </c>
    </row>
    <row r="1585">
      <c r="A1585" s="3" t="inlineStr">
        <is>
          <t>肖成英</t>
        </is>
      </c>
      <c r="B1585" s="3" t="inlineStr">
        <is>
          <t>8/3</t>
        </is>
      </c>
      <c r="C1585" s="3" t="inlineStr">
        <is>
          <t>一</t>
        </is>
      </c>
      <c r="D1585" s="3" t="inlineStr">
        <is>
          <t>08:36 15:32</t>
        </is>
      </c>
      <c r="E1585" s="4" t="n">
        <v>0.3583333333333333</v>
      </c>
      <c r="F1585" s="4" t="n">
        <v>0.6472222222222223</v>
      </c>
      <c r="G1585" s="3">
        <f>IF($E1585="","空卡",IF($F1585="","单卡","正常"))</f>
        <v/>
      </c>
      <c r="H1585" s="5">
        <f>IF($G1585="正常",ROUND(($F1585-$E1585)*1440,0),"")</f>
        <v/>
      </c>
      <c r="I1585" s="6">
        <f>IF($G1585="正常",$H1585/60,"")</f>
        <v/>
      </c>
      <c r="J1585" s="7">
        <f>IF($G1585="正常",ROUND($H1585/30,0)/2,"")</f>
        <v/>
      </c>
      <c r="K1585" s="7">
        <f>IF($G1585="正常",MIN($J1585,12),"")</f>
        <v/>
      </c>
      <c r="L1585" s="7">
        <f>IF($G1585="正常",MAX($J1585-12,0),"")</f>
        <v/>
      </c>
    </row>
    <row r="1586">
      <c r="A1586" s="3" t="inlineStr">
        <is>
          <t>肖成英</t>
        </is>
      </c>
      <c r="B1586" s="3" t="inlineStr">
        <is>
          <t>8/4</t>
        </is>
      </c>
      <c r="C1586" s="3" t="inlineStr">
        <is>
          <t>二</t>
        </is>
      </c>
      <c r="D1586" s="3" t="inlineStr">
        <is>
          <t>07:51 20:36</t>
        </is>
      </c>
      <c r="E1586" s="4" t="n">
        <v>0.3270833333333333</v>
      </c>
      <c r="F1586" s="4" t="n">
        <v>0.8583333333333333</v>
      </c>
      <c r="G1586" s="3">
        <f>IF($E1586="","空卡",IF($F1586="","单卡","正常"))</f>
        <v/>
      </c>
      <c r="H1586" s="5">
        <f>IF($G1586="正常",ROUND(($F1586-$E1586)*1440,0),"")</f>
        <v/>
      </c>
      <c r="I1586" s="6">
        <f>IF($G1586="正常",$H1586/60,"")</f>
        <v/>
      </c>
      <c r="J1586" s="7">
        <f>IF($G1586="正常",ROUND($H1586/30,0)/2,"")</f>
        <v/>
      </c>
      <c r="K1586" s="7">
        <f>IF($G1586="正常",MIN($J1586,12),"")</f>
        <v/>
      </c>
      <c r="L1586" s="7">
        <f>IF($G1586="正常",MAX($J1586-12,0),"")</f>
        <v/>
      </c>
    </row>
    <row r="1587">
      <c r="A1587" s="3" t="inlineStr">
        <is>
          <t>肖成英</t>
        </is>
      </c>
      <c r="B1587" s="3" t="inlineStr">
        <is>
          <t>8/5</t>
        </is>
      </c>
      <c r="C1587" s="3" t="inlineStr">
        <is>
          <t>三</t>
        </is>
      </c>
      <c r="D1587" s="3" t="inlineStr">
        <is>
          <t>09:37 20:05</t>
        </is>
      </c>
      <c r="E1587" s="4" t="n">
        <v>0.4006944444444445</v>
      </c>
      <c r="F1587" s="4" t="n">
        <v>0.8368055555555556</v>
      </c>
      <c r="G1587" s="3">
        <f>IF($E1587="","空卡",IF($F1587="","单卡","正常"))</f>
        <v/>
      </c>
      <c r="H1587" s="5">
        <f>IF($G1587="正常",ROUND(($F1587-$E1587)*1440,0),"")</f>
        <v/>
      </c>
      <c r="I1587" s="6">
        <f>IF($G1587="正常",$H1587/60,"")</f>
        <v/>
      </c>
      <c r="J1587" s="7">
        <f>IF($G1587="正常",ROUND($H1587/30,0)/2,"")</f>
        <v/>
      </c>
      <c r="K1587" s="7">
        <f>IF($G1587="正常",MIN($J1587,12),"")</f>
        <v/>
      </c>
      <c r="L1587" s="7">
        <f>IF($G1587="正常",MAX($J1587-12,0),"")</f>
        <v/>
      </c>
    </row>
    <row r="1588">
      <c r="A1588" s="3" t="inlineStr">
        <is>
          <t>肖成英</t>
        </is>
      </c>
      <c r="B1588" s="3" t="inlineStr">
        <is>
          <t>8/6</t>
        </is>
      </c>
      <c r="C1588" s="3" t="inlineStr">
        <is>
          <t>四</t>
        </is>
      </c>
      <c r="D1588" s="3" t="inlineStr">
        <is>
          <t>08:52 19:04</t>
        </is>
      </c>
      <c r="E1588" s="4" t="n">
        <v>0.3694444444444445</v>
      </c>
      <c r="F1588" s="4" t="n">
        <v>0.7944444444444444</v>
      </c>
      <c r="G1588" s="3">
        <f>IF($E1588="","空卡",IF($F1588="","单卡","正常"))</f>
        <v/>
      </c>
      <c r="H1588" s="5">
        <f>IF($G1588="正常",ROUND(($F1588-$E1588)*1440,0),"")</f>
        <v/>
      </c>
      <c r="I1588" s="6">
        <f>IF($G1588="正常",$H1588/60,"")</f>
        <v/>
      </c>
      <c r="J1588" s="7">
        <f>IF($G1588="正常",ROUND($H1588/30,0)/2,"")</f>
        <v/>
      </c>
      <c r="K1588" s="7">
        <f>IF($G1588="正常",MIN($J1588,12),"")</f>
        <v/>
      </c>
      <c r="L1588" s="7">
        <f>IF($G1588="正常",MAX($J1588-12,0),"")</f>
        <v/>
      </c>
    </row>
    <row r="1589">
      <c r="A1589" s="3" t="inlineStr">
        <is>
          <t>肖成英</t>
        </is>
      </c>
      <c r="B1589" s="3" t="inlineStr">
        <is>
          <t>8/7</t>
        </is>
      </c>
      <c r="C1589" s="3" t="inlineStr">
        <is>
          <t>五</t>
        </is>
      </c>
      <c r="D1589" s="3" t="inlineStr">
        <is>
          <t>07:54 20:04</t>
        </is>
      </c>
      <c r="E1589" s="4" t="n">
        <v>0.3291666666666667</v>
      </c>
      <c r="F1589" s="4" t="n">
        <v>0.8361111111111111</v>
      </c>
      <c r="G1589" s="3">
        <f>IF($E1589="","空卡",IF($F1589="","单卡","正常"))</f>
        <v/>
      </c>
      <c r="H1589" s="5">
        <f>IF($G1589="正常",ROUND(($F1589-$E1589)*1440,0),"")</f>
        <v/>
      </c>
      <c r="I1589" s="6">
        <f>IF($G1589="正常",$H1589/60,"")</f>
        <v/>
      </c>
      <c r="J1589" s="7">
        <f>IF($G1589="正常",ROUND($H1589/30,0)/2,"")</f>
        <v/>
      </c>
      <c r="K1589" s="7">
        <f>IF($G1589="正常",MIN($J1589,12),"")</f>
        <v/>
      </c>
      <c r="L1589" s="7">
        <f>IF($G1589="正常",MAX($J1589-12,0),"")</f>
        <v/>
      </c>
    </row>
    <row r="1590">
      <c r="A1590" s="3" t="inlineStr">
        <is>
          <t>肖成英</t>
        </is>
      </c>
      <c r="B1590" s="3" t="inlineStr">
        <is>
          <t>8/8</t>
        </is>
      </c>
      <c r="C1590" s="3" t="inlineStr">
        <is>
          <t>六</t>
        </is>
      </c>
      <c r="D1590" s="3" t="inlineStr">
        <is>
          <t>08:20 19:39</t>
        </is>
      </c>
      <c r="E1590" s="4" t="n">
        <v>0.3472222222222222</v>
      </c>
      <c r="F1590" s="4" t="n">
        <v>0.81875</v>
      </c>
      <c r="G1590" s="3">
        <f>IF($E1590="","空卡",IF($F1590="","单卡","正常"))</f>
        <v/>
      </c>
      <c r="H1590" s="5">
        <f>IF($G1590="正常",ROUND(($F1590-$E1590)*1440,0),"")</f>
        <v/>
      </c>
      <c r="I1590" s="6">
        <f>IF($G1590="正常",$H1590/60,"")</f>
        <v/>
      </c>
      <c r="J1590" s="7">
        <f>IF($G1590="正常",ROUND($H1590/30,0)/2,"")</f>
        <v/>
      </c>
      <c r="K1590" s="7">
        <f>IF($G1590="正常",MIN($J1590,12),"")</f>
        <v/>
      </c>
      <c r="L1590" s="7">
        <f>IF($G1590="正常",MAX($J1590-12,0),"")</f>
        <v/>
      </c>
    </row>
    <row r="1591">
      <c r="A1591" s="8" t="inlineStr">
        <is>
          <t>肖成英</t>
        </is>
      </c>
      <c r="B1591" s="8" t="inlineStr">
        <is>
          <t>8/9</t>
        </is>
      </c>
      <c r="C1591" s="8" t="inlineStr">
        <is>
          <t>日</t>
        </is>
      </c>
      <c r="D1591" s="8" t="inlineStr"/>
      <c r="E1591" s="9" t="n"/>
      <c r="F1591" s="9" t="n"/>
      <c r="G1591" s="10">
        <f>IF($E1591="","空卡",IF($F1591="","单卡","正常"))</f>
        <v/>
      </c>
      <c r="H1591" s="11">
        <f>IF($G1591="正常",ROUND(($F1591-$E1591)*1440,0),"")</f>
        <v/>
      </c>
      <c r="I1591" s="12">
        <f>IF($G1591="正常",$H1591/60,"")</f>
        <v/>
      </c>
      <c r="J1591" s="13">
        <f>IF($G1591="正常",ROUND($H1591/30,0)/2,"")</f>
        <v/>
      </c>
      <c r="K1591" s="13">
        <f>IF($G1591="正常",MIN($J1591,12),"")</f>
        <v/>
      </c>
      <c r="L1591" s="13">
        <f>IF($G1591="正常",MAX($J1591-12,0),"")</f>
        <v/>
      </c>
    </row>
    <row r="1592">
      <c r="A1592" s="8" t="inlineStr">
        <is>
          <t>肖成英</t>
        </is>
      </c>
      <c r="B1592" s="8" t="inlineStr">
        <is>
          <t>8/10</t>
        </is>
      </c>
      <c r="C1592" s="8" t="inlineStr">
        <is>
          <t>一</t>
        </is>
      </c>
      <c r="D1592" s="8" t="inlineStr"/>
      <c r="E1592" s="9" t="n"/>
      <c r="F1592" s="9" t="n"/>
      <c r="G1592" s="10">
        <f>IF($E1592="","空卡",IF($F1592="","单卡","正常"))</f>
        <v/>
      </c>
      <c r="H1592" s="11">
        <f>IF($G1592="正常",ROUND(($F1592-$E1592)*1440,0),"")</f>
        <v/>
      </c>
      <c r="I1592" s="12">
        <f>IF($G1592="正常",$H1592/60,"")</f>
        <v/>
      </c>
      <c r="J1592" s="13">
        <f>IF($G1592="正常",ROUND($H1592/30,0)/2,"")</f>
        <v/>
      </c>
      <c r="K1592" s="13">
        <f>IF($G1592="正常",MIN($J1592,12),"")</f>
        <v/>
      </c>
      <c r="L1592" s="13">
        <f>IF($G1592="正常",MAX($J1592-12,0),"")</f>
        <v/>
      </c>
    </row>
    <row r="1593">
      <c r="A1593" s="8" t="inlineStr">
        <is>
          <t>肖成英</t>
        </is>
      </c>
      <c r="B1593" s="8" t="inlineStr">
        <is>
          <t>8/11</t>
        </is>
      </c>
      <c r="C1593" s="8" t="inlineStr">
        <is>
          <t>二</t>
        </is>
      </c>
      <c r="D1593" s="8" t="inlineStr"/>
      <c r="E1593" s="9" t="n"/>
      <c r="F1593" s="9" t="n"/>
      <c r="G1593" s="10">
        <f>IF($E1593="","空卡",IF($F1593="","单卡","正常"))</f>
        <v/>
      </c>
      <c r="H1593" s="11">
        <f>IF($G1593="正常",ROUND(($F1593-$E1593)*1440,0),"")</f>
        <v/>
      </c>
      <c r="I1593" s="12">
        <f>IF($G1593="正常",$H1593/60,"")</f>
        <v/>
      </c>
      <c r="J1593" s="13">
        <f>IF($G1593="正常",ROUND($H1593/30,0)/2,"")</f>
        <v/>
      </c>
      <c r="K1593" s="13">
        <f>IF($G1593="正常",MIN($J1593,12),"")</f>
        <v/>
      </c>
      <c r="L1593" s="13">
        <f>IF($G1593="正常",MAX($J1593-12,0),"")</f>
        <v/>
      </c>
    </row>
    <row r="1594">
      <c r="A1594" s="8" t="inlineStr">
        <is>
          <t>肖成英</t>
        </is>
      </c>
      <c r="B1594" s="8" t="inlineStr">
        <is>
          <t>8/12</t>
        </is>
      </c>
      <c r="C1594" s="8" t="inlineStr">
        <is>
          <t>三</t>
        </is>
      </c>
      <c r="D1594" s="8" t="inlineStr"/>
      <c r="E1594" s="9" t="n"/>
      <c r="F1594" s="9" t="n"/>
      <c r="G1594" s="10">
        <f>IF($E1594="","空卡",IF($F1594="","单卡","正常"))</f>
        <v/>
      </c>
      <c r="H1594" s="11">
        <f>IF($G1594="正常",ROUND(($F1594-$E1594)*1440,0),"")</f>
        <v/>
      </c>
      <c r="I1594" s="12">
        <f>IF($G1594="正常",$H1594/60,"")</f>
        <v/>
      </c>
      <c r="J1594" s="13">
        <f>IF($G1594="正常",ROUND($H1594/30,0)/2,"")</f>
        <v/>
      </c>
      <c r="K1594" s="13">
        <f>IF($G1594="正常",MIN($J1594,12),"")</f>
        <v/>
      </c>
      <c r="L1594" s="13">
        <f>IF($G1594="正常",MAX($J1594-12,0),"")</f>
        <v/>
      </c>
    </row>
    <row r="1595">
      <c r="A1595" s="8" t="inlineStr">
        <is>
          <t>肖成英</t>
        </is>
      </c>
      <c r="B1595" s="8" t="inlineStr">
        <is>
          <t>8/13</t>
        </is>
      </c>
      <c r="C1595" s="8" t="inlineStr">
        <is>
          <t>四</t>
        </is>
      </c>
      <c r="D1595" s="8" t="inlineStr"/>
      <c r="E1595" s="9" t="n"/>
      <c r="F1595" s="9" t="n"/>
      <c r="G1595" s="10">
        <f>IF($E1595="","空卡",IF($F1595="","单卡","正常"))</f>
        <v/>
      </c>
      <c r="H1595" s="11">
        <f>IF($G1595="正常",ROUND(($F1595-$E1595)*1440,0),"")</f>
        <v/>
      </c>
      <c r="I1595" s="12">
        <f>IF($G1595="正常",$H1595/60,"")</f>
        <v/>
      </c>
      <c r="J1595" s="13">
        <f>IF($G1595="正常",ROUND($H1595/30,0)/2,"")</f>
        <v/>
      </c>
      <c r="K1595" s="13">
        <f>IF($G1595="正常",MIN($J1595,12),"")</f>
        <v/>
      </c>
      <c r="L1595" s="13">
        <f>IF($G1595="正常",MAX($J1595-12,0),"")</f>
        <v/>
      </c>
    </row>
    <row r="1596">
      <c r="A1596" s="8" t="inlineStr">
        <is>
          <t>肖成英</t>
        </is>
      </c>
      <c r="B1596" s="8" t="inlineStr">
        <is>
          <t>8/14</t>
        </is>
      </c>
      <c r="C1596" s="8" t="inlineStr">
        <is>
          <t>五</t>
        </is>
      </c>
      <c r="D1596" s="8" t="inlineStr"/>
      <c r="E1596" s="9" t="n"/>
      <c r="F1596" s="9" t="n"/>
      <c r="G1596" s="10">
        <f>IF($E1596="","空卡",IF($F1596="","单卡","正常"))</f>
        <v/>
      </c>
      <c r="H1596" s="11">
        <f>IF($G1596="正常",ROUND(($F1596-$E1596)*1440,0),"")</f>
        <v/>
      </c>
      <c r="I1596" s="12">
        <f>IF($G1596="正常",$H1596/60,"")</f>
        <v/>
      </c>
      <c r="J1596" s="13">
        <f>IF($G1596="正常",ROUND($H1596/30,0)/2,"")</f>
        <v/>
      </c>
      <c r="K1596" s="13">
        <f>IF($G1596="正常",MIN($J1596,12),"")</f>
        <v/>
      </c>
      <c r="L1596" s="13">
        <f>IF($G1596="正常",MAX($J1596-12,0),"")</f>
        <v/>
      </c>
    </row>
    <row r="1597">
      <c r="A1597" s="8" t="inlineStr">
        <is>
          <t>肖成英</t>
        </is>
      </c>
      <c r="B1597" s="8" t="inlineStr">
        <is>
          <t>8/15</t>
        </is>
      </c>
      <c r="C1597" s="8" t="inlineStr">
        <is>
          <t>六</t>
        </is>
      </c>
      <c r="D1597" s="8" t="inlineStr"/>
      <c r="E1597" s="9" t="n"/>
      <c r="F1597" s="9" t="n"/>
      <c r="G1597" s="10">
        <f>IF($E1597="","空卡",IF($F1597="","单卡","正常"))</f>
        <v/>
      </c>
      <c r="H1597" s="11">
        <f>IF($G1597="正常",ROUND(($F1597-$E1597)*1440,0),"")</f>
        <v/>
      </c>
      <c r="I1597" s="12">
        <f>IF($G1597="正常",$H1597/60,"")</f>
        <v/>
      </c>
      <c r="J1597" s="13">
        <f>IF($G1597="正常",ROUND($H1597/30,0)/2,"")</f>
        <v/>
      </c>
      <c r="K1597" s="13">
        <f>IF($G1597="正常",MIN($J1597,12),"")</f>
        <v/>
      </c>
      <c r="L1597" s="13">
        <f>IF($G1597="正常",MAX($J1597-12,0),"")</f>
        <v/>
      </c>
    </row>
    <row r="1598">
      <c r="A1598" s="8" t="inlineStr">
        <is>
          <t>肖成英</t>
        </is>
      </c>
      <c r="B1598" s="8" t="inlineStr">
        <is>
          <t>8/16</t>
        </is>
      </c>
      <c r="C1598" s="8" t="inlineStr">
        <is>
          <t>日</t>
        </is>
      </c>
      <c r="D1598" s="8" t="inlineStr"/>
      <c r="E1598" s="9" t="n"/>
      <c r="F1598" s="9" t="n"/>
      <c r="G1598" s="10">
        <f>IF($E1598="","空卡",IF($F1598="","单卡","正常"))</f>
        <v/>
      </c>
      <c r="H1598" s="11">
        <f>IF($G1598="正常",ROUND(($F1598-$E1598)*1440,0),"")</f>
        <v/>
      </c>
      <c r="I1598" s="12">
        <f>IF($G1598="正常",$H1598/60,"")</f>
        <v/>
      </c>
      <c r="J1598" s="13">
        <f>IF($G1598="正常",ROUND($H1598/30,0)/2,"")</f>
        <v/>
      </c>
      <c r="K1598" s="13">
        <f>IF($G1598="正常",MIN($J1598,12),"")</f>
        <v/>
      </c>
      <c r="L1598" s="13">
        <f>IF($G1598="正常",MAX($J1598-12,0),"")</f>
        <v/>
      </c>
    </row>
    <row r="1599">
      <c r="A1599" s="8" t="inlineStr">
        <is>
          <t>肖成英</t>
        </is>
      </c>
      <c r="B1599" s="8" t="inlineStr">
        <is>
          <t>8/17</t>
        </is>
      </c>
      <c r="C1599" s="8" t="inlineStr">
        <is>
          <t>一</t>
        </is>
      </c>
      <c r="D1599" s="8" t="inlineStr"/>
      <c r="E1599" s="9" t="n"/>
      <c r="F1599" s="9" t="n"/>
      <c r="G1599" s="10">
        <f>IF($E1599="","空卡",IF($F1599="","单卡","正常"))</f>
        <v/>
      </c>
      <c r="H1599" s="11">
        <f>IF($G1599="正常",ROUND(($F1599-$E1599)*1440,0),"")</f>
        <v/>
      </c>
      <c r="I1599" s="12">
        <f>IF($G1599="正常",$H1599/60,"")</f>
        <v/>
      </c>
      <c r="J1599" s="13">
        <f>IF($G1599="正常",ROUND($H1599/30,0)/2,"")</f>
        <v/>
      </c>
      <c r="K1599" s="13">
        <f>IF($G1599="正常",MIN($J1599,12),"")</f>
        <v/>
      </c>
      <c r="L1599" s="13">
        <f>IF($G1599="正常",MAX($J1599-12,0),"")</f>
        <v/>
      </c>
    </row>
    <row r="1600">
      <c r="A1600" s="8" t="inlineStr">
        <is>
          <t>肖成英</t>
        </is>
      </c>
      <c r="B1600" s="8" t="inlineStr">
        <is>
          <t>8/18</t>
        </is>
      </c>
      <c r="C1600" s="8" t="inlineStr">
        <is>
          <t>二</t>
        </is>
      </c>
      <c r="D1600" s="8" t="inlineStr"/>
      <c r="E1600" s="9" t="n"/>
      <c r="F1600" s="9" t="n"/>
      <c r="G1600" s="10">
        <f>IF($E1600="","空卡",IF($F1600="","单卡","正常"))</f>
        <v/>
      </c>
      <c r="H1600" s="11">
        <f>IF($G1600="正常",ROUND(($F1600-$E1600)*1440,0),"")</f>
        <v/>
      </c>
      <c r="I1600" s="12">
        <f>IF($G1600="正常",$H1600/60,"")</f>
        <v/>
      </c>
      <c r="J1600" s="13">
        <f>IF($G1600="正常",ROUND($H1600/30,0)/2,"")</f>
        <v/>
      </c>
      <c r="K1600" s="13">
        <f>IF($G1600="正常",MIN($J1600,12),"")</f>
        <v/>
      </c>
      <c r="L1600" s="13">
        <f>IF($G1600="正常",MAX($J1600-12,0),"")</f>
        <v/>
      </c>
    </row>
    <row r="1601">
      <c r="A1601" s="8" t="inlineStr">
        <is>
          <t>肖成英</t>
        </is>
      </c>
      <c r="B1601" s="8" t="inlineStr">
        <is>
          <t>8/19</t>
        </is>
      </c>
      <c r="C1601" s="8" t="inlineStr">
        <is>
          <t>三</t>
        </is>
      </c>
      <c r="D1601" s="8" t="inlineStr"/>
      <c r="E1601" s="9" t="n"/>
      <c r="F1601" s="9" t="n"/>
      <c r="G1601" s="10">
        <f>IF($E1601="","空卡",IF($F1601="","单卡","正常"))</f>
        <v/>
      </c>
      <c r="H1601" s="11">
        <f>IF($G1601="正常",ROUND(($F1601-$E1601)*1440,0),"")</f>
        <v/>
      </c>
      <c r="I1601" s="12">
        <f>IF($G1601="正常",$H1601/60,"")</f>
        <v/>
      </c>
      <c r="J1601" s="13">
        <f>IF($G1601="正常",ROUND($H1601/30,0)/2,"")</f>
        <v/>
      </c>
      <c r="K1601" s="13">
        <f>IF($G1601="正常",MIN($J1601,12),"")</f>
        <v/>
      </c>
      <c r="L1601" s="13">
        <f>IF($G1601="正常",MAX($J1601-12,0),"")</f>
        <v/>
      </c>
    </row>
    <row r="1602">
      <c r="A1602" s="8" t="inlineStr">
        <is>
          <t>肖成英</t>
        </is>
      </c>
      <c r="B1602" s="8" t="inlineStr">
        <is>
          <t>8/20</t>
        </is>
      </c>
      <c r="C1602" s="8" t="inlineStr">
        <is>
          <t>四</t>
        </is>
      </c>
      <c r="D1602" s="8" t="inlineStr"/>
      <c r="E1602" s="9" t="n"/>
      <c r="F1602" s="9" t="n"/>
      <c r="G1602" s="10">
        <f>IF($E1602="","空卡",IF($F1602="","单卡","正常"))</f>
        <v/>
      </c>
      <c r="H1602" s="11">
        <f>IF($G1602="正常",ROUND(($F1602-$E1602)*1440,0),"")</f>
        <v/>
      </c>
      <c r="I1602" s="12">
        <f>IF($G1602="正常",$H1602/60,"")</f>
        <v/>
      </c>
      <c r="J1602" s="13">
        <f>IF($G1602="正常",ROUND($H1602/30,0)/2,"")</f>
        <v/>
      </c>
      <c r="K1602" s="13">
        <f>IF($G1602="正常",MIN($J1602,12),"")</f>
        <v/>
      </c>
      <c r="L1602" s="13">
        <f>IF($G1602="正常",MAX($J1602-12,0),"")</f>
        <v/>
      </c>
    </row>
    <row r="1603">
      <c r="A1603" s="8" t="inlineStr">
        <is>
          <t>肖成英</t>
        </is>
      </c>
      <c r="B1603" s="8" t="inlineStr">
        <is>
          <t>8/21</t>
        </is>
      </c>
      <c r="C1603" s="8" t="inlineStr">
        <is>
          <t>五</t>
        </is>
      </c>
      <c r="D1603" s="8" t="inlineStr"/>
      <c r="E1603" s="9" t="n"/>
      <c r="F1603" s="9" t="n"/>
      <c r="G1603" s="10">
        <f>IF($E1603="","空卡",IF($F1603="","单卡","正常"))</f>
        <v/>
      </c>
      <c r="H1603" s="11">
        <f>IF($G1603="正常",ROUND(($F1603-$E1603)*1440,0),"")</f>
        <v/>
      </c>
      <c r="I1603" s="12">
        <f>IF($G1603="正常",$H1603/60,"")</f>
        <v/>
      </c>
      <c r="J1603" s="13">
        <f>IF($G1603="正常",ROUND($H1603/30,0)/2,"")</f>
        <v/>
      </c>
      <c r="K1603" s="13">
        <f>IF($G1603="正常",MIN($J1603,12),"")</f>
        <v/>
      </c>
      <c r="L1603" s="13">
        <f>IF($G1603="正常",MAX($J1603-12,0),"")</f>
        <v/>
      </c>
    </row>
    <row r="1604">
      <c r="A1604" s="8" t="inlineStr">
        <is>
          <t>肖成英</t>
        </is>
      </c>
      <c r="B1604" s="8" t="inlineStr">
        <is>
          <t>8/22</t>
        </is>
      </c>
      <c r="C1604" s="8" t="inlineStr">
        <is>
          <t>六</t>
        </is>
      </c>
      <c r="D1604" s="8" t="inlineStr"/>
      <c r="E1604" s="9" t="n"/>
      <c r="F1604" s="9" t="n"/>
      <c r="G1604" s="10">
        <f>IF($E1604="","空卡",IF($F1604="","单卡","正常"))</f>
        <v/>
      </c>
      <c r="H1604" s="11">
        <f>IF($G1604="正常",ROUND(($F1604-$E1604)*1440,0),"")</f>
        <v/>
      </c>
      <c r="I1604" s="12">
        <f>IF($G1604="正常",$H1604/60,"")</f>
        <v/>
      </c>
      <c r="J1604" s="13">
        <f>IF($G1604="正常",ROUND($H1604/30,0)/2,"")</f>
        <v/>
      </c>
      <c r="K1604" s="13">
        <f>IF($G1604="正常",MIN($J1604,12),"")</f>
        <v/>
      </c>
      <c r="L1604" s="13">
        <f>IF($G1604="正常",MAX($J1604-12,0),"")</f>
        <v/>
      </c>
    </row>
    <row r="1605">
      <c r="A1605" s="8" t="inlineStr">
        <is>
          <t>肖成英</t>
        </is>
      </c>
      <c r="B1605" s="8" t="inlineStr">
        <is>
          <t>8/23</t>
        </is>
      </c>
      <c r="C1605" s="8" t="inlineStr">
        <is>
          <t>日</t>
        </is>
      </c>
      <c r="D1605" s="8" t="inlineStr"/>
      <c r="E1605" s="9" t="n"/>
      <c r="F1605" s="9" t="n"/>
      <c r="G1605" s="10">
        <f>IF($E1605="","空卡",IF($F1605="","单卡","正常"))</f>
        <v/>
      </c>
      <c r="H1605" s="11">
        <f>IF($G1605="正常",ROUND(($F1605-$E1605)*1440,0),"")</f>
        <v/>
      </c>
      <c r="I1605" s="12">
        <f>IF($G1605="正常",$H1605/60,"")</f>
        <v/>
      </c>
      <c r="J1605" s="13">
        <f>IF($G1605="正常",ROUND($H1605/30,0)/2,"")</f>
        <v/>
      </c>
      <c r="K1605" s="13">
        <f>IF($G1605="正常",MIN($J1605,12),"")</f>
        <v/>
      </c>
      <c r="L1605" s="13">
        <f>IF($G1605="正常",MAX($J1605-12,0),"")</f>
        <v/>
      </c>
    </row>
    <row r="1606">
      <c r="A1606" s="8" t="inlineStr">
        <is>
          <t>肖成英</t>
        </is>
      </c>
      <c r="B1606" s="8" t="inlineStr">
        <is>
          <t>8/24</t>
        </is>
      </c>
      <c r="C1606" s="8" t="inlineStr">
        <is>
          <t>一</t>
        </is>
      </c>
      <c r="D1606" s="8" t="inlineStr"/>
      <c r="E1606" s="9" t="n"/>
      <c r="F1606" s="9" t="n"/>
      <c r="G1606" s="10">
        <f>IF($E1606="","空卡",IF($F1606="","单卡","正常"))</f>
        <v/>
      </c>
      <c r="H1606" s="11">
        <f>IF($G1606="正常",ROUND(($F1606-$E1606)*1440,0),"")</f>
        <v/>
      </c>
      <c r="I1606" s="12">
        <f>IF($G1606="正常",$H1606/60,"")</f>
        <v/>
      </c>
      <c r="J1606" s="13">
        <f>IF($G1606="正常",ROUND($H1606/30,0)/2,"")</f>
        <v/>
      </c>
      <c r="K1606" s="13">
        <f>IF($G1606="正常",MIN($J1606,12),"")</f>
        <v/>
      </c>
      <c r="L1606" s="13">
        <f>IF($G1606="正常",MAX($J1606-12,0),"")</f>
        <v/>
      </c>
    </row>
    <row r="1607">
      <c r="A1607" s="8" t="inlineStr">
        <is>
          <t>肖成英</t>
        </is>
      </c>
      <c r="B1607" s="8" t="inlineStr">
        <is>
          <t>8/25</t>
        </is>
      </c>
      <c r="C1607" s="8" t="inlineStr">
        <is>
          <t>二</t>
        </is>
      </c>
      <c r="D1607" s="8" t="inlineStr"/>
      <c r="E1607" s="9" t="n"/>
      <c r="F1607" s="9" t="n"/>
      <c r="G1607" s="10">
        <f>IF($E1607="","空卡",IF($F1607="","单卡","正常"))</f>
        <v/>
      </c>
      <c r="H1607" s="11">
        <f>IF($G1607="正常",ROUND(($F1607-$E1607)*1440,0),"")</f>
        <v/>
      </c>
      <c r="I1607" s="12">
        <f>IF($G1607="正常",$H1607/60,"")</f>
        <v/>
      </c>
      <c r="J1607" s="13">
        <f>IF($G1607="正常",ROUND($H1607/30,0)/2,"")</f>
        <v/>
      </c>
      <c r="K1607" s="13">
        <f>IF($G1607="正常",MIN($J1607,12),"")</f>
        <v/>
      </c>
      <c r="L1607" s="13">
        <f>IF($G1607="正常",MAX($J1607-12,0),"")</f>
        <v/>
      </c>
    </row>
    <row r="1608">
      <c r="A1608" s="8" t="inlineStr">
        <is>
          <t>肖成英</t>
        </is>
      </c>
      <c r="B1608" s="8" t="inlineStr">
        <is>
          <t>8/26</t>
        </is>
      </c>
      <c r="C1608" s="8" t="inlineStr">
        <is>
          <t>三</t>
        </is>
      </c>
      <c r="D1608" s="8" t="inlineStr"/>
      <c r="E1608" s="9" t="n"/>
      <c r="F1608" s="9" t="n"/>
      <c r="G1608" s="10">
        <f>IF($E1608="","空卡",IF($F1608="","单卡","正常"))</f>
        <v/>
      </c>
      <c r="H1608" s="11">
        <f>IF($G1608="正常",ROUND(($F1608-$E1608)*1440,0),"")</f>
        <v/>
      </c>
      <c r="I1608" s="12">
        <f>IF($G1608="正常",$H1608/60,"")</f>
        <v/>
      </c>
      <c r="J1608" s="13">
        <f>IF($G1608="正常",ROUND($H1608/30,0)/2,"")</f>
        <v/>
      </c>
      <c r="K1608" s="13">
        <f>IF($G1608="正常",MIN($J1608,12),"")</f>
        <v/>
      </c>
      <c r="L1608" s="13">
        <f>IF($G1608="正常",MAX($J1608-12,0),"")</f>
        <v/>
      </c>
    </row>
    <row r="1609">
      <c r="A1609" s="3" t="inlineStr">
        <is>
          <t>肖成英</t>
        </is>
      </c>
      <c r="B1609" s="3" t="inlineStr">
        <is>
          <t>8/27</t>
        </is>
      </c>
      <c r="C1609" s="3" t="inlineStr">
        <is>
          <t>四</t>
        </is>
      </c>
      <c r="D1609" s="3" t="inlineStr">
        <is>
          <t>07:53 19:08</t>
        </is>
      </c>
      <c r="E1609" s="4" t="n">
        <v>0.3284722222222222</v>
      </c>
      <c r="F1609" s="4" t="n">
        <v>0.7972222222222223</v>
      </c>
      <c r="G1609" s="3">
        <f>IF($E1609="","空卡",IF($F1609="","单卡","正常"))</f>
        <v/>
      </c>
      <c r="H1609" s="5">
        <f>IF($G1609="正常",ROUND(($F1609-$E1609)*1440,0),"")</f>
        <v/>
      </c>
      <c r="I1609" s="6">
        <f>IF($G1609="正常",$H1609/60,"")</f>
        <v/>
      </c>
      <c r="J1609" s="7">
        <f>IF($G1609="正常",ROUND($H1609/30,0)/2,"")</f>
        <v/>
      </c>
      <c r="K1609" s="7">
        <f>IF($G1609="正常",MIN($J1609,12),"")</f>
        <v/>
      </c>
      <c r="L1609" s="7">
        <f>IF($G1609="正常",MAX($J1609-12,0),"")</f>
        <v/>
      </c>
    </row>
    <row r="1610">
      <c r="A1610" s="3" t="inlineStr">
        <is>
          <t>肖成英</t>
        </is>
      </c>
      <c r="B1610" s="3" t="inlineStr">
        <is>
          <t>8/28</t>
        </is>
      </c>
      <c r="C1610" s="3" t="inlineStr">
        <is>
          <t>五</t>
        </is>
      </c>
      <c r="D1610" s="3" t="inlineStr">
        <is>
          <t>07:51 18:34</t>
        </is>
      </c>
      <c r="E1610" s="4" t="n">
        <v>0.3270833333333333</v>
      </c>
      <c r="F1610" s="4" t="n">
        <v>0.7736111111111111</v>
      </c>
      <c r="G1610" s="3">
        <f>IF($E1610="","空卡",IF($F1610="","单卡","正常"))</f>
        <v/>
      </c>
      <c r="H1610" s="5">
        <f>IF($G1610="正常",ROUND(($F1610-$E1610)*1440,0),"")</f>
        <v/>
      </c>
      <c r="I1610" s="6">
        <f>IF($G1610="正常",$H1610/60,"")</f>
        <v/>
      </c>
      <c r="J1610" s="7">
        <f>IF($G1610="正常",ROUND($H1610/30,0)/2,"")</f>
        <v/>
      </c>
      <c r="K1610" s="7">
        <f>IF($G1610="正常",MIN($J1610,12),"")</f>
        <v/>
      </c>
      <c r="L1610" s="7">
        <f>IF($G1610="正常",MAX($J1610-12,0),"")</f>
        <v/>
      </c>
    </row>
    <row r="1611">
      <c r="A1611" s="3" t="inlineStr">
        <is>
          <t>肖成英</t>
        </is>
      </c>
      <c r="B1611" s="3" t="inlineStr">
        <is>
          <t>8/29</t>
        </is>
      </c>
      <c r="C1611" s="3" t="inlineStr">
        <is>
          <t>六</t>
        </is>
      </c>
      <c r="D1611" s="3" t="inlineStr">
        <is>
          <t>08:01 22:35</t>
        </is>
      </c>
      <c r="E1611" s="4" t="n">
        <v>0.3340277777777778</v>
      </c>
      <c r="F1611" s="4" t="n">
        <v>0.9409722222222222</v>
      </c>
      <c r="G1611" s="3">
        <f>IF($E1611="","空卡",IF($F1611="","单卡","正常"))</f>
        <v/>
      </c>
      <c r="H1611" s="5">
        <f>IF($G1611="正常",ROUND(($F1611-$E1611)*1440,0),"")</f>
        <v/>
      </c>
      <c r="I1611" s="6">
        <f>IF($G1611="正常",$H1611/60,"")</f>
        <v/>
      </c>
      <c r="J1611" s="7">
        <f>IF($G1611="正常",ROUND($H1611/30,0)/2,"")</f>
        <v/>
      </c>
      <c r="K1611" s="7">
        <f>IF($G1611="正常",MIN($J1611,12),"")</f>
        <v/>
      </c>
      <c r="L1611" s="7">
        <f>IF($G1611="正常",MAX($J1611-12,0),"")</f>
        <v/>
      </c>
    </row>
    <row r="1612">
      <c r="A1612" s="3" t="inlineStr">
        <is>
          <t>肖成英</t>
        </is>
      </c>
      <c r="B1612" s="3" t="inlineStr">
        <is>
          <t>8/30</t>
        </is>
      </c>
      <c r="C1612" s="3" t="inlineStr">
        <is>
          <t>日</t>
        </is>
      </c>
      <c r="D1612" s="3" t="inlineStr">
        <is>
          <t>07:54 21:23</t>
        </is>
      </c>
      <c r="E1612" s="4" t="n">
        <v>0.3291666666666667</v>
      </c>
      <c r="F1612" s="4" t="n">
        <v>0.8909722222222223</v>
      </c>
      <c r="G1612" s="3">
        <f>IF($E1612="","空卡",IF($F1612="","单卡","正常"))</f>
        <v/>
      </c>
      <c r="H1612" s="5">
        <f>IF($G1612="正常",ROUND(($F1612-$E1612)*1440,0),"")</f>
        <v/>
      </c>
      <c r="I1612" s="6">
        <f>IF($G1612="正常",$H1612/60,"")</f>
        <v/>
      </c>
      <c r="J1612" s="7">
        <f>IF($G1612="正常",ROUND($H1612/30,0)/2,"")</f>
        <v/>
      </c>
      <c r="K1612" s="7">
        <f>IF($G1612="正常",MIN($J1612,12),"")</f>
        <v/>
      </c>
      <c r="L1612" s="7">
        <f>IF($G1612="正常",MAX($J1612-12,0),"")</f>
        <v/>
      </c>
    </row>
    <row r="1613">
      <c r="A1613" s="8" t="inlineStr">
        <is>
          <t>肖成英</t>
        </is>
      </c>
      <c r="B1613" s="8" t="inlineStr">
        <is>
          <t>8/31</t>
        </is>
      </c>
      <c r="C1613" s="8" t="inlineStr">
        <is>
          <t>一</t>
        </is>
      </c>
      <c r="D1613" s="8" t="inlineStr"/>
      <c r="E1613" s="9" t="n"/>
      <c r="F1613" s="9" t="n"/>
      <c r="G1613" s="10">
        <f>IF($E1613="","空卡",IF($F1613="","单卡","正常"))</f>
        <v/>
      </c>
      <c r="H1613" s="11">
        <f>IF($G1613="正常",ROUND(($F1613-$E1613)*1440,0),"")</f>
        <v/>
      </c>
      <c r="I1613" s="12">
        <f>IF($G1613="正常",$H1613/60,"")</f>
        <v/>
      </c>
      <c r="J1613" s="13">
        <f>IF($G1613="正常",ROUND($H1613/30,0)/2,"")</f>
        <v/>
      </c>
      <c r="K1613" s="13">
        <f>IF($G1613="正常",MIN($J1613,12),"")</f>
        <v/>
      </c>
      <c r="L1613" s="13">
        <f>IF($G1613="正常",MAX($J1613-12,0),"")</f>
        <v/>
      </c>
    </row>
    <row r="1614">
      <c r="A1614" s="3" t="inlineStr">
        <is>
          <t>陈远满</t>
        </is>
      </c>
      <c r="B1614" s="3" t="inlineStr">
        <is>
          <t>8/1</t>
        </is>
      </c>
      <c r="C1614" s="3" t="inlineStr">
        <is>
          <t>六</t>
        </is>
      </c>
      <c r="D1614" s="3" t="inlineStr">
        <is>
          <t>07:58 17:01</t>
        </is>
      </c>
      <c r="E1614" s="4" t="n">
        <v>0.3319444444444444</v>
      </c>
      <c r="F1614" s="4" t="n">
        <v>0.7090277777777778</v>
      </c>
      <c r="G1614" s="3">
        <f>IF($E1614="","空卡",IF($F1614="","单卡","正常"))</f>
        <v/>
      </c>
      <c r="H1614" s="5">
        <f>IF($G1614="正常",ROUND(($F1614-$E1614)*1440,0),"")</f>
        <v/>
      </c>
      <c r="I1614" s="6">
        <f>IF($G1614="正常",$H1614/60,"")</f>
        <v/>
      </c>
      <c r="J1614" s="7">
        <f>IF($G1614="正常",ROUND($H1614/30,0)/2,"")</f>
        <v/>
      </c>
      <c r="K1614" s="7">
        <f>IF($G1614="正常",MIN($J1614,12),"")</f>
        <v/>
      </c>
      <c r="L1614" s="7">
        <f>IF($G1614="正常",MAX($J1614-12,0),"")</f>
        <v/>
      </c>
    </row>
    <row r="1615">
      <c r="A1615" s="3" t="inlineStr">
        <is>
          <t>陈远满</t>
        </is>
      </c>
      <c r="B1615" s="3" t="inlineStr">
        <is>
          <t>8/2</t>
        </is>
      </c>
      <c r="C1615" s="3" t="inlineStr">
        <is>
          <t>日</t>
        </is>
      </c>
      <c r="D1615" s="3" t="inlineStr">
        <is>
          <t>07:51 15:00</t>
        </is>
      </c>
      <c r="E1615" s="4" t="n">
        <v>0.3270833333333333</v>
      </c>
      <c r="F1615" s="4" t="n">
        <v>0.625</v>
      </c>
      <c r="G1615" s="3">
        <f>IF($E1615="","空卡",IF($F1615="","单卡","正常"))</f>
        <v/>
      </c>
      <c r="H1615" s="5">
        <f>IF($G1615="正常",ROUND(($F1615-$E1615)*1440,0),"")</f>
        <v/>
      </c>
      <c r="I1615" s="6">
        <f>IF($G1615="正常",$H1615/60,"")</f>
        <v/>
      </c>
      <c r="J1615" s="7">
        <f>IF($G1615="正常",ROUND($H1615/30,0)/2,"")</f>
        <v/>
      </c>
      <c r="K1615" s="7">
        <f>IF($G1615="正常",MIN($J1615,12),"")</f>
        <v/>
      </c>
      <c r="L1615" s="7">
        <f>IF($G1615="正常",MAX($J1615-12,0),"")</f>
        <v/>
      </c>
    </row>
    <row r="1616">
      <c r="A1616" s="3" t="inlineStr">
        <is>
          <t>陈远满</t>
        </is>
      </c>
      <c r="B1616" s="3" t="inlineStr">
        <is>
          <t>8/3</t>
        </is>
      </c>
      <c r="C1616" s="3" t="inlineStr">
        <is>
          <t>一</t>
        </is>
      </c>
      <c r="D1616" s="3" t="inlineStr">
        <is>
          <t>08:22 15:40</t>
        </is>
      </c>
      <c r="E1616" s="4" t="n">
        <v>0.3486111111111111</v>
      </c>
      <c r="F1616" s="4" t="n">
        <v>0.6527777777777778</v>
      </c>
      <c r="G1616" s="3">
        <f>IF($E1616="","空卡",IF($F1616="","单卡","正常"))</f>
        <v/>
      </c>
      <c r="H1616" s="5">
        <f>IF($G1616="正常",ROUND(($F1616-$E1616)*1440,0),"")</f>
        <v/>
      </c>
      <c r="I1616" s="6">
        <f>IF($G1616="正常",$H1616/60,"")</f>
        <v/>
      </c>
      <c r="J1616" s="7">
        <f>IF($G1616="正常",ROUND($H1616/30,0)/2,"")</f>
        <v/>
      </c>
      <c r="K1616" s="7">
        <f>IF($G1616="正常",MIN($J1616,12),"")</f>
        <v/>
      </c>
      <c r="L1616" s="7">
        <f>IF($G1616="正常",MAX($J1616-12,0),"")</f>
        <v/>
      </c>
    </row>
    <row r="1617">
      <c r="A1617" s="3" t="inlineStr">
        <is>
          <t>陈远满</t>
        </is>
      </c>
      <c r="B1617" s="3" t="inlineStr">
        <is>
          <t>8/4</t>
        </is>
      </c>
      <c r="C1617" s="3" t="inlineStr">
        <is>
          <t>二</t>
        </is>
      </c>
      <c r="D1617" s="3" t="inlineStr">
        <is>
          <t>08:51 19:31</t>
        </is>
      </c>
      <c r="E1617" s="4" t="n">
        <v>0.36875</v>
      </c>
      <c r="F1617" s="4" t="n">
        <v>0.8131944444444444</v>
      </c>
      <c r="G1617" s="3">
        <f>IF($E1617="","空卡",IF($F1617="","单卡","正常"))</f>
        <v/>
      </c>
      <c r="H1617" s="5">
        <f>IF($G1617="正常",ROUND(($F1617-$E1617)*1440,0),"")</f>
        <v/>
      </c>
      <c r="I1617" s="6">
        <f>IF($G1617="正常",$H1617/60,"")</f>
        <v/>
      </c>
      <c r="J1617" s="7">
        <f>IF($G1617="正常",ROUND($H1617/30,0)/2,"")</f>
        <v/>
      </c>
      <c r="K1617" s="7">
        <f>IF($G1617="正常",MIN($J1617,12),"")</f>
        <v/>
      </c>
      <c r="L1617" s="7">
        <f>IF($G1617="正常",MAX($J1617-12,0),"")</f>
        <v/>
      </c>
    </row>
    <row r="1618">
      <c r="A1618" s="3" t="inlineStr">
        <is>
          <t>陈远满</t>
        </is>
      </c>
      <c r="B1618" s="3" t="inlineStr">
        <is>
          <t>8/5</t>
        </is>
      </c>
      <c r="C1618" s="3" t="inlineStr">
        <is>
          <t>三</t>
        </is>
      </c>
      <c r="D1618" s="3" t="inlineStr">
        <is>
          <t>09:49 19:55</t>
        </is>
      </c>
      <c r="E1618" s="4" t="n">
        <v>0.4090277777777778</v>
      </c>
      <c r="F1618" s="4" t="n">
        <v>0.8298611111111112</v>
      </c>
      <c r="G1618" s="3">
        <f>IF($E1618="","空卡",IF($F1618="","单卡","正常"))</f>
        <v/>
      </c>
      <c r="H1618" s="5">
        <f>IF($G1618="正常",ROUND(($F1618-$E1618)*1440,0),"")</f>
        <v/>
      </c>
      <c r="I1618" s="6">
        <f>IF($G1618="正常",$H1618/60,"")</f>
        <v/>
      </c>
      <c r="J1618" s="7">
        <f>IF($G1618="正常",ROUND($H1618/30,0)/2,"")</f>
        <v/>
      </c>
      <c r="K1618" s="7">
        <f>IF($G1618="正常",MIN($J1618,12),"")</f>
        <v/>
      </c>
      <c r="L1618" s="7">
        <f>IF($G1618="正常",MAX($J1618-12,0),"")</f>
        <v/>
      </c>
    </row>
    <row r="1619">
      <c r="A1619" s="3" t="inlineStr">
        <is>
          <t>陈远满</t>
        </is>
      </c>
      <c r="B1619" s="3" t="inlineStr">
        <is>
          <t>8/6</t>
        </is>
      </c>
      <c r="C1619" s="3" t="inlineStr">
        <is>
          <t>四</t>
        </is>
      </c>
      <c r="D1619" s="3" t="inlineStr">
        <is>
          <t>08:53 19:06</t>
        </is>
      </c>
      <c r="E1619" s="4" t="n">
        <v>0.3701388888888889</v>
      </c>
      <c r="F1619" s="4" t="n">
        <v>0.7958333333333333</v>
      </c>
      <c r="G1619" s="3">
        <f>IF($E1619="","空卡",IF($F1619="","单卡","正常"))</f>
        <v/>
      </c>
      <c r="H1619" s="5">
        <f>IF($G1619="正常",ROUND(($F1619-$E1619)*1440,0),"")</f>
        <v/>
      </c>
      <c r="I1619" s="6">
        <f>IF($G1619="正常",$H1619/60,"")</f>
        <v/>
      </c>
      <c r="J1619" s="7">
        <f>IF($G1619="正常",ROUND($H1619/30,0)/2,"")</f>
        <v/>
      </c>
      <c r="K1619" s="7">
        <f>IF($G1619="正常",MIN($J1619,12),"")</f>
        <v/>
      </c>
      <c r="L1619" s="7">
        <f>IF($G1619="正常",MAX($J1619-12,0),"")</f>
        <v/>
      </c>
    </row>
    <row r="1620">
      <c r="A1620" s="3" t="inlineStr">
        <is>
          <t>陈远满</t>
        </is>
      </c>
      <c r="B1620" s="3" t="inlineStr">
        <is>
          <t>8/7</t>
        </is>
      </c>
      <c r="C1620" s="3" t="inlineStr">
        <is>
          <t>五</t>
        </is>
      </c>
      <c r="D1620" s="3" t="inlineStr">
        <is>
          <t>07:51 19:31</t>
        </is>
      </c>
      <c r="E1620" s="4" t="n">
        <v>0.3270833333333333</v>
      </c>
      <c r="F1620" s="4" t="n">
        <v>0.8131944444444444</v>
      </c>
      <c r="G1620" s="3">
        <f>IF($E1620="","空卡",IF($F1620="","单卡","正常"))</f>
        <v/>
      </c>
      <c r="H1620" s="5">
        <f>IF($G1620="正常",ROUND(($F1620-$E1620)*1440,0),"")</f>
        <v/>
      </c>
      <c r="I1620" s="6">
        <f>IF($G1620="正常",$H1620/60,"")</f>
        <v/>
      </c>
      <c r="J1620" s="7">
        <f>IF($G1620="正常",ROUND($H1620/30,0)/2,"")</f>
        <v/>
      </c>
      <c r="K1620" s="7">
        <f>IF($G1620="正常",MIN($J1620,12),"")</f>
        <v/>
      </c>
      <c r="L1620" s="7">
        <f>IF($G1620="正常",MAX($J1620-12,0),"")</f>
        <v/>
      </c>
    </row>
    <row r="1621">
      <c r="A1621" s="3" t="inlineStr">
        <is>
          <t>陈远满</t>
        </is>
      </c>
      <c r="B1621" s="3" t="inlineStr">
        <is>
          <t>8/8</t>
        </is>
      </c>
      <c r="C1621" s="3" t="inlineStr">
        <is>
          <t>六</t>
        </is>
      </c>
      <c r="D1621" s="3" t="inlineStr">
        <is>
          <t>08:24 19:32</t>
        </is>
      </c>
      <c r="E1621" s="4" t="n">
        <v>0.35</v>
      </c>
      <c r="F1621" s="4" t="n">
        <v>0.8138888888888889</v>
      </c>
      <c r="G1621" s="3">
        <f>IF($E1621="","空卡",IF($F1621="","单卡","正常"))</f>
        <v/>
      </c>
      <c r="H1621" s="5">
        <f>IF($G1621="正常",ROUND(($F1621-$E1621)*1440,0),"")</f>
        <v/>
      </c>
      <c r="I1621" s="6">
        <f>IF($G1621="正常",$H1621/60,"")</f>
        <v/>
      </c>
      <c r="J1621" s="7">
        <f>IF($G1621="正常",ROUND($H1621/30,0)/2,"")</f>
        <v/>
      </c>
      <c r="K1621" s="7">
        <f>IF($G1621="正常",MIN($J1621,12),"")</f>
        <v/>
      </c>
      <c r="L1621" s="7">
        <f>IF($G1621="正常",MAX($J1621-12,0),"")</f>
        <v/>
      </c>
    </row>
    <row r="1622">
      <c r="A1622" s="8" t="inlineStr">
        <is>
          <t>陈远满</t>
        </is>
      </c>
      <c r="B1622" s="8" t="inlineStr">
        <is>
          <t>8/9</t>
        </is>
      </c>
      <c r="C1622" s="8" t="inlineStr">
        <is>
          <t>日</t>
        </is>
      </c>
      <c r="D1622" s="8" t="inlineStr"/>
      <c r="E1622" s="9" t="n"/>
      <c r="F1622" s="9" t="n"/>
      <c r="G1622" s="10">
        <f>IF($E1622="","空卡",IF($F1622="","单卡","正常"))</f>
        <v/>
      </c>
      <c r="H1622" s="11">
        <f>IF($G1622="正常",ROUND(($F1622-$E1622)*1440,0),"")</f>
        <v/>
      </c>
      <c r="I1622" s="12">
        <f>IF($G1622="正常",$H1622/60,"")</f>
        <v/>
      </c>
      <c r="J1622" s="13">
        <f>IF($G1622="正常",ROUND($H1622/30,0)/2,"")</f>
        <v/>
      </c>
      <c r="K1622" s="13">
        <f>IF($G1622="正常",MIN($J1622,12),"")</f>
        <v/>
      </c>
      <c r="L1622" s="13">
        <f>IF($G1622="正常",MAX($J1622-12,0),"")</f>
        <v/>
      </c>
    </row>
    <row r="1623">
      <c r="A1623" s="8" t="inlineStr">
        <is>
          <t>陈远满</t>
        </is>
      </c>
      <c r="B1623" s="8" t="inlineStr">
        <is>
          <t>8/10</t>
        </is>
      </c>
      <c r="C1623" s="8" t="inlineStr">
        <is>
          <t>一</t>
        </is>
      </c>
      <c r="D1623" s="8" t="inlineStr"/>
      <c r="E1623" s="9" t="n"/>
      <c r="F1623" s="9" t="n"/>
      <c r="G1623" s="10">
        <f>IF($E1623="","空卡",IF($F1623="","单卡","正常"))</f>
        <v/>
      </c>
      <c r="H1623" s="11">
        <f>IF($G1623="正常",ROUND(($F1623-$E1623)*1440,0),"")</f>
        <v/>
      </c>
      <c r="I1623" s="12">
        <f>IF($G1623="正常",$H1623/60,"")</f>
        <v/>
      </c>
      <c r="J1623" s="13">
        <f>IF($G1623="正常",ROUND($H1623/30,0)/2,"")</f>
        <v/>
      </c>
      <c r="K1623" s="13">
        <f>IF($G1623="正常",MIN($J1623,12),"")</f>
        <v/>
      </c>
      <c r="L1623" s="13">
        <f>IF($G1623="正常",MAX($J1623-12,0),"")</f>
        <v/>
      </c>
    </row>
    <row r="1624">
      <c r="A1624" s="3" t="inlineStr">
        <is>
          <t>陈远满</t>
        </is>
      </c>
      <c r="B1624" s="3" t="inlineStr">
        <is>
          <t>8/11</t>
        </is>
      </c>
      <c r="C1624" s="3" t="inlineStr">
        <is>
          <t>二</t>
        </is>
      </c>
      <c r="D1624" s="3" t="inlineStr">
        <is>
          <t>08:24 18:07</t>
        </is>
      </c>
      <c r="E1624" s="4" t="n">
        <v>0.35</v>
      </c>
      <c r="F1624" s="4" t="n">
        <v>0.7548611111111111</v>
      </c>
      <c r="G1624" s="3">
        <f>IF($E1624="","空卡",IF($F1624="","单卡","正常"))</f>
        <v/>
      </c>
      <c r="H1624" s="5">
        <f>IF($G1624="正常",ROUND(($F1624-$E1624)*1440,0),"")</f>
        <v/>
      </c>
      <c r="I1624" s="6">
        <f>IF($G1624="正常",$H1624/60,"")</f>
        <v/>
      </c>
      <c r="J1624" s="7">
        <f>IF($G1624="正常",ROUND($H1624/30,0)/2,"")</f>
        <v/>
      </c>
      <c r="K1624" s="7">
        <f>IF($G1624="正常",MIN($J1624,12),"")</f>
        <v/>
      </c>
      <c r="L1624" s="7">
        <f>IF($G1624="正常",MAX($J1624-12,0),"")</f>
        <v/>
      </c>
    </row>
    <row r="1625">
      <c r="A1625" s="3" t="inlineStr">
        <is>
          <t>陈远满</t>
        </is>
      </c>
      <c r="B1625" s="3" t="inlineStr">
        <is>
          <t>8/12</t>
        </is>
      </c>
      <c r="C1625" s="3" t="inlineStr">
        <is>
          <t>三</t>
        </is>
      </c>
      <c r="D1625" s="3" t="inlineStr">
        <is>
          <t>09:50 09:52 18:36</t>
        </is>
      </c>
      <c r="E1625" s="4" t="n">
        <v>0.4097222222222222</v>
      </c>
      <c r="F1625" s="4" t="n">
        <v>0.775</v>
      </c>
      <c r="G1625" s="3">
        <f>IF($E1625="","空卡",IF($F1625="","单卡","正常"))</f>
        <v/>
      </c>
      <c r="H1625" s="5">
        <f>IF($G1625="正常",ROUND(($F1625-$E1625)*1440,0),"")</f>
        <v/>
      </c>
      <c r="I1625" s="6">
        <f>IF($G1625="正常",$H1625/60,"")</f>
        <v/>
      </c>
      <c r="J1625" s="7">
        <f>IF($G1625="正常",ROUND($H1625/30,0)/2,"")</f>
        <v/>
      </c>
      <c r="K1625" s="7">
        <f>IF($G1625="正常",MIN($J1625,12),"")</f>
        <v/>
      </c>
      <c r="L1625" s="7">
        <f>IF($G1625="正常",MAX($J1625-12,0),"")</f>
        <v/>
      </c>
    </row>
    <row r="1626">
      <c r="A1626" s="3" t="inlineStr">
        <is>
          <t>陈远满</t>
        </is>
      </c>
      <c r="B1626" s="3" t="inlineStr">
        <is>
          <t>8/13</t>
        </is>
      </c>
      <c r="C1626" s="3" t="inlineStr">
        <is>
          <t>四</t>
        </is>
      </c>
      <c r="D1626" s="3" t="inlineStr">
        <is>
          <t>09:55 19:02</t>
        </is>
      </c>
      <c r="E1626" s="4" t="n">
        <v>0.4131944444444444</v>
      </c>
      <c r="F1626" s="4" t="n">
        <v>0.7930555555555555</v>
      </c>
      <c r="G1626" s="3">
        <f>IF($E1626="","空卡",IF($F1626="","单卡","正常"))</f>
        <v/>
      </c>
      <c r="H1626" s="5">
        <f>IF($G1626="正常",ROUND(($F1626-$E1626)*1440,0),"")</f>
        <v/>
      </c>
      <c r="I1626" s="6">
        <f>IF($G1626="正常",$H1626/60,"")</f>
        <v/>
      </c>
      <c r="J1626" s="7">
        <f>IF($G1626="正常",ROUND($H1626/30,0)/2,"")</f>
        <v/>
      </c>
      <c r="K1626" s="7">
        <f>IF($G1626="正常",MIN($J1626,12),"")</f>
        <v/>
      </c>
      <c r="L1626" s="7">
        <f>IF($G1626="正常",MAX($J1626-12,0),"")</f>
        <v/>
      </c>
    </row>
    <row r="1627">
      <c r="A1627" s="3" t="inlineStr">
        <is>
          <t>陈远满</t>
        </is>
      </c>
      <c r="B1627" s="3" t="inlineStr">
        <is>
          <t>8/14</t>
        </is>
      </c>
      <c r="C1627" s="3" t="inlineStr">
        <is>
          <t>五</t>
        </is>
      </c>
      <c r="D1627" s="3" t="inlineStr">
        <is>
          <t>06:53 21:02</t>
        </is>
      </c>
      <c r="E1627" s="4" t="n">
        <v>0.2868055555555555</v>
      </c>
      <c r="F1627" s="4" t="n">
        <v>0.8763888888888889</v>
      </c>
      <c r="G1627" s="3">
        <f>IF($E1627="","空卡",IF($F1627="","单卡","正常"))</f>
        <v/>
      </c>
      <c r="H1627" s="5">
        <f>IF($G1627="正常",ROUND(($F1627-$E1627)*1440,0),"")</f>
        <v/>
      </c>
      <c r="I1627" s="6">
        <f>IF($G1627="正常",$H1627/60,"")</f>
        <v/>
      </c>
      <c r="J1627" s="7">
        <f>IF($G1627="正常",ROUND($H1627/30,0)/2,"")</f>
        <v/>
      </c>
      <c r="K1627" s="7">
        <f>IF($G1627="正常",MIN($J1627,12),"")</f>
        <v/>
      </c>
      <c r="L1627" s="7">
        <f>IF($G1627="正常",MAX($J1627-12,0),"")</f>
        <v/>
      </c>
    </row>
    <row r="1628">
      <c r="A1628" s="3" t="inlineStr">
        <is>
          <t>陈远满</t>
        </is>
      </c>
      <c r="B1628" s="3" t="inlineStr">
        <is>
          <t>8/15</t>
        </is>
      </c>
      <c r="C1628" s="3" t="inlineStr">
        <is>
          <t>六</t>
        </is>
      </c>
      <c r="D1628" s="3" t="inlineStr">
        <is>
          <t>06:54 19:01</t>
        </is>
      </c>
      <c r="E1628" s="4" t="n">
        <v>0.2875</v>
      </c>
      <c r="F1628" s="4" t="n">
        <v>0.7923611111111111</v>
      </c>
      <c r="G1628" s="3">
        <f>IF($E1628="","空卡",IF($F1628="","单卡","正常"))</f>
        <v/>
      </c>
      <c r="H1628" s="5">
        <f>IF($G1628="正常",ROUND(($F1628-$E1628)*1440,0),"")</f>
        <v/>
      </c>
      <c r="I1628" s="6">
        <f>IF($G1628="正常",$H1628/60,"")</f>
        <v/>
      </c>
      <c r="J1628" s="7">
        <f>IF($G1628="正常",ROUND($H1628/30,0)/2,"")</f>
        <v/>
      </c>
      <c r="K1628" s="7">
        <f>IF($G1628="正常",MIN($J1628,12),"")</f>
        <v/>
      </c>
      <c r="L1628" s="7">
        <f>IF($G1628="正常",MAX($J1628-12,0),"")</f>
        <v/>
      </c>
    </row>
    <row r="1629">
      <c r="A1629" s="8" t="inlineStr">
        <is>
          <t>陈远满</t>
        </is>
      </c>
      <c r="B1629" s="8" t="inlineStr">
        <is>
          <t>8/16</t>
        </is>
      </c>
      <c r="C1629" s="8" t="inlineStr">
        <is>
          <t>日</t>
        </is>
      </c>
      <c r="D1629" s="8" t="inlineStr"/>
      <c r="E1629" s="9" t="n"/>
      <c r="F1629" s="9" t="n"/>
      <c r="G1629" s="10">
        <f>IF($E1629="","空卡",IF($F1629="","单卡","正常"))</f>
        <v/>
      </c>
      <c r="H1629" s="11">
        <f>IF($G1629="正常",ROUND(($F1629-$E1629)*1440,0),"")</f>
        <v/>
      </c>
      <c r="I1629" s="12">
        <f>IF($G1629="正常",$H1629/60,"")</f>
        <v/>
      </c>
      <c r="J1629" s="13">
        <f>IF($G1629="正常",ROUND($H1629/30,0)/2,"")</f>
        <v/>
      </c>
      <c r="K1629" s="13">
        <f>IF($G1629="正常",MIN($J1629,12),"")</f>
        <v/>
      </c>
      <c r="L1629" s="13">
        <f>IF($G1629="正常",MAX($J1629-12,0),"")</f>
        <v/>
      </c>
    </row>
    <row r="1630">
      <c r="A1630" s="3" t="inlineStr">
        <is>
          <t>陈远满</t>
        </is>
      </c>
      <c r="B1630" s="3" t="inlineStr">
        <is>
          <t>8/17</t>
        </is>
      </c>
      <c r="C1630" s="3" t="inlineStr">
        <is>
          <t>一</t>
        </is>
      </c>
      <c r="D1630" s="3" t="inlineStr">
        <is>
          <t>07:54 20:00</t>
        </is>
      </c>
      <c r="E1630" s="4" t="n">
        <v>0.3291666666666667</v>
      </c>
      <c r="F1630" s="4" t="n">
        <v>0.8333333333333334</v>
      </c>
      <c r="G1630" s="3">
        <f>IF($E1630="","空卡",IF($F1630="","单卡","正常"))</f>
        <v/>
      </c>
      <c r="H1630" s="5">
        <f>IF($G1630="正常",ROUND(($F1630-$E1630)*1440,0),"")</f>
        <v/>
      </c>
      <c r="I1630" s="6">
        <f>IF($G1630="正常",$H1630/60,"")</f>
        <v/>
      </c>
      <c r="J1630" s="7">
        <f>IF($G1630="正常",ROUND($H1630/30,0)/2,"")</f>
        <v/>
      </c>
      <c r="K1630" s="7">
        <f>IF($G1630="正常",MIN($J1630,12),"")</f>
        <v/>
      </c>
      <c r="L1630" s="7">
        <f>IF($G1630="正常",MAX($J1630-12,0),"")</f>
        <v/>
      </c>
    </row>
    <row r="1631">
      <c r="A1631" s="3" t="inlineStr">
        <is>
          <t>陈远满</t>
        </is>
      </c>
      <c r="B1631" s="3" t="inlineStr">
        <is>
          <t>8/18</t>
        </is>
      </c>
      <c r="C1631" s="3" t="inlineStr">
        <is>
          <t>二</t>
        </is>
      </c>
      <c r="D1631" s="3" t="inlineStr">
        <is>
          <t>07:54 19:03</t>
        </is>
      </c>
      <c r="E1631" s="4" t="n">
        <v>0.3291666666666667</v>
      </c>
      <c r="F1631" s="4" t="n">
        <v>0.79375</v>
      </c>
      <c r="G1631" s="3">
        <f>IF($E1631="","空卡",IF($F1631="","单卡","正常"))</f>
        <v/>
      </c>
      <c r="H1631" s="5">
        <f>IF($G1631="正常",ROUND(($F1631-$E1631)*1440,0),"")</f>
        <v/>
      </c>
      <c r="I1631" s="6">
        <f>IF($G1631="正常",$H1631/60,"")</f>
        <v/>
      </c>
      <c r="J1631" s="7">
        <f>IF($G1631="正常",ROUND($H1631/30,0)/2,"")</f>
        <v/>
      </c>
      <c r="K1631" s="7">
        <f>IF($G1631="正常",MIN($J1631,12),"")</f>
        <v/>
      </c>
      <c r="L1631" s="7">
        <f>IF($G1631="正常",MAX($J1631-12,0),"")</f>
        <v/>
      </c>
    </row>
    <row r="1632">
      <c r="A1632" s="3" t="inlineStr">
        <is>
          <t>陈远满</t>
        </is>
      </c>
      <c r="B1632" s="3" t="inlineStr">
        <is>
          <t>8/19</t>
        </is>
      </c>
      <c r="C1632" s="3" t="inlineStr">
        <is>
          <t>三</t>
        </is>
      </c>
      <c r="D1632" s="3" t="inlineStr">
        <is>
          <t>08:53 20:33</t>
        </is>
      </c>
      <c r="E1632" s="4" t="n">
        <v>0.3701388888888889</v>
      </c>
      <c r="F1632" s="4" t="n">
        <v>0.85625</v>
      </c>
      <c r="G1632" s="3">
        <f>IF($E1632="","空卡",IF($F1632="","单卡","正常"))</f>
        <v/>
      </c>
      <c r="H1632" s="5">
        <f>IF($G1632="正常",ROUND(($F1632-$E1632)*1440,0),"")</f>
        <v/>
      </c>
      <c r="I1632" s="6">
        <f>IF($G1632="正常",$H1632/60,"")</f>
        <v/>
      </c>
      <c r="J1632" s="7">
        <f>IF($G1632="正常",ROUND($H1632/30,0)/2,"")</f>
        <v/>
      </c>
      <c r="K1632" s="7">
        <f>IF($G1632="正常",MIN($J1632,12),"")</f>
        <v/>
      </c>
      <c r="L1632" s="7">
        <f>IF($G1632="正常",MAX($J1632-12,0),"")</f>
        <v/>
      </c>
    </row>
    <row r="1633">
      <c r="A1633" s="3" t="inlineStr">
        <is>
          <t>陈远满</t>
        </is>
      </c>
      <c r="B1633" s="3" t="inlineStr">
        <is>
          <t>8/20</t>
        </is>
      </c>
      <c r="C1633" s="3" t="inlineStr">
        <is>
          <t>四</t>
        </is>
      </c>
      <c r="D1633" s="3" t="inlineStr">
        <is>
          <t>08:57 19:58</t>
        </is>
      </c>
      <c r="E1633" s="4" t="n">
        <v>0.3729166666666667</v>
      </c>
      <c r="F1633" s="4" t="n">
        <v>0.8319444444444445</v>
      </c>
      <c r="G1633" s="3">
        <f>IF($E1633="","空卡",IF($F1633="","单卡","正常"))</f>
        <v/>
      </c>
      <c r="H1633" s="5">
        <f>IF($G1633="正常",ROUND(($F1633-$E1633)*1440,0),"")</f>
        <v/>
      </c>
      <c r="I1633" s="6">
        <f>IF($G1633="正常",$H1633/60,"")</f>
        <v/>
      </c>
      <c r="J1633" s="7">
        <f>IF($G1633="正常",ROUND($H1633/30,0)/2,"")</f>
        <v/>
      </c>
      <c r="K1633" s="7">
        <f>IF($G1633="正常",MIN($J1633,12),"")</f>
        <v/>
      </c>
      <c r="L1633" s="7">
        <f>IF($G1633="正常",MAX($J1633-12,0),"")</f>
        <v/>
      </c>
    </row>
    <row r="1634">
      <c r="A1634" s="3" t="inlineStr">
        <is>
          <t>陈远满</t>
        </is>
      </c>
      <c r="B1634" s="3" t="inlineStr">
        <is>
          <t>8/21</t>
        </is>
      </c>
      <c r="C1634" s="3" t="inlineStr">
        <is>
          <t>五</t>
        </is>
      </c>
      <c r="D1634" s="3" t="inlineStr">
        <is>
          <t>06:53 19:03</t>
        </is>
      </c>
      <c r="E1634" s="4" t="n">
        <v>0.2868055555555555</v>
      </c>
      <c r="F1634" s="4" t="n">
        <v>0.79375</v>
      </c>
      <c r="G1634" s="3">
        <f>IF($E1634="","空卡",IF($F1634="","单卡","正常"))</f>
        <v/>
      </c>
      <c r="H1634" s="5">
        <f>IF($G1634="正常",ROUND(($F1634-$E1634)*1440,0),"")</f>
        <v/>
      </c>
      <c r="I1634" s="6">
        <f>IF($G1634="正常",$H1634/60,"")</f>
        <v/>
      </c>
      <c r="J1634" s="7">
        <f>IF($G1634="正常",ROUND($H1634/30,0)/2,"")</f>
        <v/>
      </c>
      <c r="K1634" s="7">
        <f>IF($G1634="正常",MIN($J1634,12),"")</f>
        <v/>
      </c>
      <c r="L1634" s="7">
        <f>IF($G1634="正常",MAX($J1634-12,0),"")</f>
        <v/>
      </c>
    </row>
    <row r="1635">
      <c r="A1635" s="3" t="inlineStr">
        <is>
          <t>陈远满</t>
        </is>
      </c>
      <c r="B1635" s="3" t="inlineStr">
        <is>
          <t>8/22</t>
        </is>
      </c>
      <c r="C1635" s="3" t="inlineStr">
        <is>
          <t>六</t>
        </is>
      </c>
      <c r="D1635" s="3" t="inlineStr">
        <is>
          <t>06:54 18:28</t>
        </is>
      </c>
      <c r="E1635" s="4" t="n">
        <v>0.2875</v>
      </c>
      <c r="F1635" s="4" t="n">
        <v>0.7694444444444445</v>
      </c>
      <c r="G1635" s="3">
        <f>IF($E1635="","空卡",IF($F1635="","单卡","正常"))</f>
        <v/>
      </c>
      <c r="H1635" s="5">
        <f>IF($G1635="正常",ROUND(($F1635-$E1635)*1440,0),"")</f>
        <v/>
      </c>
      <c r="I1635" s="6">
        <f>IF($G1635="正常",$H1635/60,"")</f>
        <v/>
      </c>
      <c r="J1635" s="7">
        <f>IF($G1635="正常",ROUND($H1635/30,0)/2,"")</f>
        <v/>
      </c>
      <c r="K1635" s="7">
        <f>IF($G1635="正常",MIN($J1635,12),"")</f>
        <v/>
      </c>
      <c r="L1635" s="7">
        <f>IF($G1635="正常",MAX($J1635-12,0),"")</f>
        <v/>
      </c>
    </row>
    <row r="1636">
      <c r="A1636" s="8" t="inlineStr">
        <is>
          <t>陈远满</t>
        </is>
      </c>
      <c r="B1636" s="8" t="inlineStr">
        <is>
          <t>8/23</t>
        </is>
      </c>
      <c r="C1636" s="8" t="inlineStr">
        <is>
          <t>日</t>
        </is>
      </c>
      <c r="D1636" s="8" t="inlineStr"/>
      <c r="E1636" s="9" t="n"/>
      <c r="F1636" s="9" t="n"/>
      <c r="G1636" s="10">
        <f>IF($E1636="","空卡",IF($F1636="","单卡","正常"))</f>
        <v/>
      </c>
      <c r="H1636" s="11">
        <f>IF($G1636="正常",ROUND(($F1636-$E1636)*1440,0),"")</f>
        <v/>
      </c>
      <c r="I1636" s="12">
        <f>IF($G1636="正常",$H1636/60,"")</f>
        <v/>
      </c>
      <c r="J1636" s="13">
        <f>IF($G1636="正常",ROUND($H1636/30,0)/2,"")</f>
        <v/>
      </c>
      <c r="K1636" s="13">
        <f>IF($G1636="正常",MIN($J1636,12),"")</f>
        <v/>
      </c>
      <c r="L1636" s="13">
        <f>IF($G1636="正常",MAX($J1636-12,0),"")</f>
        <v/>
      </c>
    </row>
    <row r="1637">
      <c r="A1637" s="3" t="inlineStr">
        <is>
          <t>陈远满</t>
        </is>
      </c>
      <c r="B1637" s="3" t="inlineStr">
        <is>
          <t>8/24</t>
        </is>
      </c>
      <c r="C1637" s="3" t="inlineStr">
        <is>
          <t>一</t>
        </is>
      </c>
      <c r="D1637" s="3" t="inlineStr">
        <is>
          <t>06:54 16:36</t>
        </is>
      </c>
      <c r="E1637" s="4" t="n">
        <v>0.2875</v>
      </c>
      <c r="F1637" s="4" t="n">
        <v>0.6916666666666667</v>
      </c>
      <c r="G1637" s="3">
        <f>IF($E1637="","空卡",IF($F1637="","单卡","正常"))</f>
        <v/>
      </c>
      <c r="H1637" s="5">
        <f>IF($G1637="正常",ROUND(($F1637-$E1637)*1440,0),"")</f>
        <v/>
      </c>
      <c r="I1637" s="6">
        <f>IF($G1637="正常",$H1637/60,"")</f>
        <v/>
      </c>
      <c r="J1637" s="7">
        <f>IF($G1637="正常",ROUND($H1637/30,0)/2,"")</f>
        <v/>
      </c>
      <c r="K1637" s="7">
        <f>IF($G1637="正常",MIN($J1637,12),"")</f>
        <v/>
      </c>
      <c r="L1637" s="7">
        <f>IF($G1637="正常",MAX($J1637-12,0),"")</f>
        <v/>
      </c>
    </row>
    <row r="1638">
      <c r="A1638" s="3" t="inlineStr">
        <is>
          <t>陈远满</t>
        </is>
      </c>
      <c r="B1638" s="3" t="inlineStr">
        <is>
          <t>8/25</t>
        </is>
      </c>
      <c r="C1638" s="3" t="inlineStr">
        <is>
          <t>二</t>
        </is>
      </c>
      <c r="D1638" s="3" t="inlineStr">
        <is>
          <t>08:53 18:36</t>
        </is>
      </c>
      <c r="E1638" s="4" t="n">
        <v>0.3701388888888889</v>
      </c>
      <c r="F1638" s="4" t="n">
        <v>0.775</v>
      </c>
      <c r="G1638" s="3">
        <f>IF($E1638="","空卡",IF($F1638="","单卡","正常"))</f>
        <v/>
      </c>
      <c r="H1638" s="5">
        <f>IF($G1638="正常",ROUND(($F1638-$E1638)*1440,0),"")</f>
        <v/>
      </c>
      <c r="I1638" s="6">
        <f>IF($G1638="正常",$H1638/60,"")</f>
        <v/>
      </c>
      <c r="J1638" s="7">
        <f>IF($G1638="正常",ROUND($H1638/30,0)/2,"")</f>
        <v/>
      </c>
      <c r="K1638" s="7">
        <f>IF($G1638="正常",MIN($J1638,12),"")</f>
        <v/>
      </c>
      <c r="L1638" s="7">
        <f>IF($G1638="正常",MAX($J1638-12,0),"")</f>
        <v/>
      </c>
    </row>
    <row r="1639">
      <c r="A1639" s="3" t="inlineStr">
        <is>
          <t>陈远满</t>
        </is>
      </c>
      <c r="B1639" s="3" t="inlineStr">
        <is>
          <t>8/26</t>
        </is>
      </c>
      <c r="C1639" s="3" t="inlineStr">
        <is>
          <t>三</t>
        </is>
      </c>
      <c r="D1639" s="3" t="inlineStr">
        <is>
          <t>07:52 18:55</t>
        </is>
      </c>
      <c r="E1639" s="4" t="n">
        <v>0.3277777777777778</v>
      </c>
      <c r="F1639" s="4" t="n">
        <v>0.7881944444444444</v>
      </c>
      <c r="G1639" s="3">
        <f>IF($E1639="","空卡",IF($F1639="","单卡","正常"))</f>
        <v/>
      </c>
      <c r="H1639" s="5">
        <f>IF($G1639="正常",ROUND(($F1639-$E1639)*1440,0),"")</f>
        <v/>
      </c>
      <c r="I1639" s="6">
        <f>IF($G1639="正常",$H1639/60,"")</f>
        <v/>
      </c>
      <c r="J1639" s="7">
        <f>IF($G1639="正常",ROUND($H1639/30,0)/2,"")</f>
        <v/>
      </c>
      <c r="K1639" s="7">
        <f>IF($G1639="正常",MIN($J1639,12),"")</f>
        <v/>
      </c>
      <c r="L1639" s="7">
        <f>IF($G1639="正常",MAX($J1639-12,0),"")</f>
        <v/>
      </c>
    </row>
    <row r="1640">
      <c r="A1640" s="3" t="inlineStr">
        <is>
          <t>陈远满</t>
        </is>
      </c>
      <c r="B1640" s="3" t="inlineStr">
        <is>
          <t>8/27</t>
        </is>
      </c>
      <c r="C1640" s="3" t="inlineStr">
        <is>
          <t>四</t>
        </is>
      </c>
      <c r="D1640" s="3" t="inlineStr">
        <is>
          <t>07:54 19:07</t>
        </is>
      </c>
      <c r="E1640" s="4" t="n">
        <v>0.3291666666666667</v>
      </c>
      <c r="F1640" s="4" t="n">
        <v>0.7965277777777777</v>
      </c>
      <c r="G1640" s="3">
        <f>IF($E1640="","空卡",IF($F1640="","单卡","正常"))</f>
        <v/>
      </c>
      <c r="H1640" s="5">
        <f>IF($G1640="正常",ROUND(($F1640-$E1640)*1440,0),"")</f>
        <v/>
      </c>
      <c r="I1640" s="6">
        <f>IF($G1640="正常",$H1640/60,"")</f>
        <v/>
      </c>
      <c r="J1640" s="7">
        <f>IF($G1640="正常",ROUND($H1640/30,0)/2,"")</f>
        <v/>
      </c>
      <c r="K1640" s="7">
        <f>IF($G1640="正常",MIN($J1640,12),"")</f>
        <v/>
      </c>
      <c r="L1640" s="7">
        <f>IF($G1640="正常",MAX($J1640-12,0),"")</f>
        <v/>
      </c>
    </row>
    <row r="1641">
      <c r="A1641" s="8" t="inlineStr">
        <is>
          <t>陈远满</t>
        </is>
      </c>
      <c r="B1641" s="8" t="inlineStr">
        <is>
          <t>8/28</t>
        </is>
      </c>
      <c r="C1641" s="8" t="inlineStr">
        <is>
          <t>五</t>
        </is>
      </c>
      <c r="D1641" s="8" t="inlineStr"/>
      <c r="E1641" s="9" t="n"/>
      <c r="F1641" s="9" t="n"/>
      <c r="G1641" s="10">
        <f>IF($E1641="","空卡",IF($F1641="","单卡","正常"))</f>
        <v/>
      </c>
      <c r="H1641" s="11">
        <f>IF($G1641="正常",ROUND(($F1641-$E1641)*1440,0),"")</f>
        <v/>
      </c>
      <c r="I1641" s="12">
        <f>IF($G1641="正常",$H1641/60,"")</f>
        <v/>
      </c>
      <c r="J1641" s="13">
        <f>IF($G1641="正常",ROUND($H1641/30,0)/2,"")</f>
        <v/>
      </c>
      <c r="K1641" s="13">
        <f>IF($G1641="正常",MIN($J1641,12),"")</f>
        <v/>
      </c>
      <c r="L1641" s="13">
        <f>IF($G1641="正常",MAX($J1641-12,0),"")</f>
        <v/>
      </c>
    </row>
    <row r="1642">
      <c r="A1642" s="3" t="inlineStr">
        <is>
          <t>陈远满</t>
        </is>
      </c>
      <c r="B1642" s="3" t="inlineStr">
        <is>
          <t>8/29</t>
        </is>
      </c>
      <c r="C1642" s="3" t="inlineStr">
        <is>
          <t>六</t>
        </is>
      </c>
      <c r="D1642" s="3" t="inlineStr">
        <is>
          <t>07:56 21:58</t>
        </is>
      </c>
      <c r="E1642" s="4" t="n">
        <v>0.3305555555555555</v>
      </c>
      <c r="F1642" s="4" t="n">
        <v>0.9152777777777777</v>
      </c>
      <c r="G1642" s="3">
        <f>IF($E1642="","空卡",IF($F1642="","单卡","正常"))</f>
        <v/>
      </c>
      <c r="H1642" s="5">
        <f>IF($G1642="正常",ROUND(($F1642-$E1642)*1440,0),"")</f>
        <v/>
      </c>
      <c r="I1642" s="6">
        <f>IF($G1642="正常",$H1642/60,"")</f>
        <v/>
      </c>
      <c r="J1642" s="7">
        <f>IF($G1642="正常",ROUND($H1642/30,0)/2,"")</f>
        <v/>
      </c>
      <c r="K1642" s="7">
        <f>IF($G1642="正常",MIN($J1642,12),"")</f>
        <v/>
      </c>
      <c r="L1642" s="7">
        <f>IF($G1642="正常",MAX($J1642-12,0),"")</f>
        <v/>
      </c>
    </row>
    <row r="1643">
      <c r="A1643" s="3" t="inlineStr">
        <is>
          <t>陈远满</t>
        </is>
      </c>
      <c r="B1643" s="3" t="inlineStr">
        <is>
          <t>8/30</t>
        </is>
      </c>
      <c r="C1643" s="3" t="inlineStr">
        <is>
          <t>日</t>
        </is>
      </c>
      <c r="D1643" s="3" t="inlineStr">
        <is>
          <t>07:55 18:42</t>
        </is>
      </c>
      <c r="E1643" s="4" t="n">
        <v>0.3298611111111111</v>
      </c>
      <c r="F1643" s="4" t="n">
        <v>0.7791666666666667</v>
      </c>
      <c r="G1643" s="3">
        <f>IF($E1643="","空卡",IF($F1643="","单卡","正常"))</f>
        <v/>
      </c>
      <c r="H1643" s="5">
        <f>IF($G1643="正常",ROUND(($F1643-$E1643)*1440,0),"")</f>
        <v/>
      </c>
      <c r="I1643" s="6">
        <f>IF($G1643="正常",$H1643/60,"")</f>
        <v/>
      </c>
      <c r="J1643" s="7">
        <f>IF($G1643="正常",ROUND($H1643/30,0)/2,"")</f>
        <v/>
      </c>
      <c r="K1643" s="7">
        <f>IF($G1643="正常",MIN($J1643,12),"")</f>
        <v/>
      </c>
      <c r="L1643" s="7">
        <f>IF($G1643="正常",MAX($J1643-12,0),"")</f>
        <v/>
      </c>
    </row>
    <row r="1644">
      <c r="A1644" s="8" t="inlineStr">
        <is>
          <t>陈远满</t>
        </is>
      </c>
      <c r="B1644" s="8" t="inlineStr">
        <is>
          <t>8/31</t>
        </is>
      </c>
      <c r="C1644" s="8" t="inlineStr">
        <is>
          <t>一</t>
        </is>
      </c>
      <c r="D1644" s="8" t="inlineStr"/>
      <c r="E1644" s="9" t="n"/>
      <c r="F1644" s="9" t="n"/>
      <c r="G1644" s="10">
        <f>IF($E1644="","空卡",IF($F1644="","单卡","正常"))</f>
        <v/>
      </c>
      <c r="H1644" s="11">
        <f>IF($G1644="正常",ROUND(($F1644-$E1644)*1440,0),"")</f>
        <v/>
      </c>
      <c r="I1644" s="12">
        <f>IF($G1644="正常",$H1644/60,"")</f>
        <v/>
      </c>
      <c r="J1644" s="13">
        <f>IF($G1644="正常",ROUND($H1644/30,0)/2,"")</f>
        <v/>
      </c>
      <c r="K1644" s="13">
        <f>IF($G1644="正常",MIN($J1644,12),"")</f>
        <v/>
      </c>
      <c r="L1644" s="13">
        <f>IF($G1644="正常",MAX($J1644-12,0),"")</f>
        <v/>
      </c>
    </row>
    <row r="1645">
      <c r="A1645" s="3" t="inlineStr">
        <is>
          <t>李光烈</t>
        </is>
      </c>
      <c r="B1645" s="3" t="inlineStr">
        <is>
          <t>8/1</t>
        </is>
      </c>
      <c r="C1645" s="3" t="inlineStr">
        <is>
          <t>六</t>
        </is>
      </c>
      <c r="D1645" s="3" t="inlineStr">
        <is>
          <t>07:55 17:01</t>
        </is>
      </c>
      <c r="E1645" s="4" t="n">
        <v>0.3298611111111111</v>
      </c>
      <c r="F1645" s="4" t="n">
        <v>0.7090277777777778</v>
      </c>
      <c r="G1645" s="3">
        <f>IF($E1645="","空卡",IF($F1645="","单卡","正常"))</f>
        <v/>
      </c>
      <c r="H1645" s="5">
        <f>IF($G1645="正常",ROUND(($F1645-$E1645)*1440,0),"")</f>
        <v/>
      </c>
      <c r="I1645" s="6">
        <f>IF($G1645="正常",$H1645/60,"")</f>
        <v/>
      </c>
      <c r="J1645" s="7">
        <f>IF($G1645="正常",ROUND($H1645/30,0)/2,"")</f>
        <v/>
      </c>
      <c r="K1645" s="7">
        <f>IF($G1645="正常",MIN($J1645,12),"")</f>
        <v/>
      </c>
      <c r="L1645" s="7">
        <f>IF($G1645="正常",MAX($J1645-12,0),"")</f>
        <v/>
      </c>
    </row>
    <row r="1646">
      <c r="A1646" s="3" t="inlineStr">
        <is>
          <t>李光烈</t>
        </is>
      </c>
      <c r="B1646" s="3" t="inlineStr">
        <is>
          <t>8/2</t>
        </is>
      </c>
      <c r="C1646" s="3" t="inlineStr">
        <is>
          <t>日</t>
        </is>
      </c>
      <c r="D1646" s="3" t="inlineStr">
        <is>
          <t>07:54 14:58</t>
        </is>
      </c>
      <c r="E1646" s="4" t="n">
        <v>0.3291666666666667</v>
      </c>
      <c r="F1646" s="4" t="n">
        <v>0.6236111111111111</v>
      </c>
      <c r="G1646" s="3">
        <f>IF($E1646="","空卡",IF($F1646="","单卡","正常"))</f>
        <v/>
      </c>
      <c r="H1646" s="5">
        <f>IF($G1646="正常",ROUND(($F1646-$E1646)*1440,0),"")</f>
        <v/>
      </c>
      <c r="I1646" s="6">
        <f>IF($G1646="正常",$H1646/60,"")</f>
        <v/>
      </c>
      <c r="J1646" s="7">
        <f>IF($G1646="正常",ROUND($H1646/30,0)/2,"")</f>
        <v/>
      </c>
      <c r="K1646" s="7">
        <f>IF($G1646="正常",MIN($J1646,12),"")</f>
        <v/>
      </c>
      <c r="L1646" s="7">
        <f>IF($G1646="正常",MAX($J1646-12,0),"")</f>
        <v/>
      </c>
    </row>
    <row r="1647">
      <c r="A1647" s="3" t="inlineStr">
        <is>
          <t>李光烈</t>
        </is>
      </c>
      <c r="B1647" s="3" t="inlineStr">
        <is>
          <t>8/3</t>
        </is>
      </c>
      <c r="C1647" s="3" t="inlineStr">
        <is>
          <t>一</t>
        </is>
      </c>
      <c r="D1647" s="3" t="inlineStr">
        <is>
          <t>08:25 15:34</t>
        </is>
      </c>
      <c r="E1647" s="4" t="n">
        <v>0.3506944444444444</v>
      </c>
      <c r="F1647" s="4" t="n">
        <v>0.6486111111111111</v>
      </c>
      <c r="G1647" s="3">
        <f>IF($E1647="","空卡",IF($F1647="","单卡","正常"))</f>
        <v/>
      </c>
      <c r="H1647" s="5">
        <f>IF($G1647="正常",ROUND(($F1647-$E1647)*1440,0),"")</f>
        <v/>
      </c>
      <c r="I1647" s="6">
        <f>IF($G1647="正常",$H1647/60,"")</f>
        <v/>
      </c>
      <c r="J1647" s="7">
        <f>IF($G1647="正常",ROUND($H1647/30,0)/2,"")</f>
        <v/>
      </c>
      <c r="K1647" s="7">
        <f>IF($G1647="正常",MIN($J1647,12),"")</f>
        <v/>
      </c>
      <c r="L1647" s="7">
        <f>IF($G1647="正常",MAX($J1647-12,0),"")</f>
        <v/>
      </c>
    </row>
    <row r="1648">
      <c r="A1648" s="8" t="inlineStr">
        <is>
          <t>李光烈</t>
        </is>
      </c>
      <c r="B1648" s="8" t="inlineStr">
        <is>
          <t>8/4</t>
        </is>
      </c>
      <c r="C1648" s="8" t="inlineStr">
        <is>
          <t>二</t>
        </is>
      </c>
      <c r="D1648" s="8" t="inlineStr"/>
      <c r="E1648" s="9" t="n"/>
      <c r="F1648" s="9" t="n"/>
      <c r="G1648" s="10">
        <f>IF($E1648="","空卡",IF($F1648="","单卡","正常"))</f>
        <v/>
      </c>
      <c r="H1648" s="11">
        <f>IF($G1648="正常",ROUND(($F1648-$E1648)*1440,0),"")</f>
        <v/>
      </c>
      <c r="I1648" s="12">
        <f>IF($G1648="正常",$H1648/60,"")</f>
        <v/>
      </c>
      <c r="J1648" s="13">
        <f>IF($G1648="正常",ROUND($H1648/30,0)/2,"")</f>
        <v/>
      </c>
      <c r="K1648" s="13">
        <f>IF($G1648="正常",MIN($J1648,12),"")</f>
        <v/>
      </c>
      <c r="L1648" s="13">
        <f>IF($G1648="正常",MAX($J1648-12,0),"")</f>
        <v/>
      </c>
    </row>
    <row r="1649">
      <c r="A1649" s="8" t="inlineStr">
        <is>
          <t>李光烈</t>
        </is>
      </c>
      <c r="B1649" s="8" t="inlineStr">
        <is>
          <t>8/5</t>
        </is>
      </c>
      <c r="C1649" s="8" t="inlineStr">
        <is>
          <t>三</t>
        </is>
      </c>
      <c r="D1649" s="8" t="inlineStr"/>
      <c r="E1649" s="9" t="n"/>
      <c r="F1649" s="9" t="n"/>
      <c r="G1649" s="10">
        <f>IF($E1649="","空卡",IF($F1649="","单卡","正常"))</f>
        <v/>
      </c>
      <c r="H1649" s="11">
        <f>IF($G1649="正常",ROUND(($F1649-$E1649)*1440,0),"")</f>
        <v/>
      </c>
      <c r="I1649" s="12">
        <f>IF($G1649="正常",$H1649/60,"")</f>
        <v/>
      </c>
      <c r="J1649" s="13">
        <f>IF($G1649="正常",ROUND($H1649/30,0)/2,"")</f>
        <v/>
      </c>
      <c r="K1649" s="13">
        <f>IF($G1649="正常",MIN($J1649,12),"")</f>
        <v/>
      </c>
      <c r="L1649" s="13">
        <f>IF($G1649="正常",MAX($J1649-12,0),"")</f>
        <v/>
      </c>
    </row>
    <row r="1650">
      <c r="A1650" s="3" t="inlineStr">
        <is>
          <t>李光烈</t>
        </is>
      </c>
      <c r="B1650" s="3" t="inlineStr">
        <is>
          <t>8/6</t>
        </is>
      </c>
      <c r="C1650" s="3" t="inlineStr">
        <is>
          <t>四</t>
        </is>
      </c>
      <c r="D1650" s="3" t="inlineStr">
        <is>
          <t>08:43 18:59</t>
        </is>
      </c>
      <c r="E1650" s="4" t="n">
        <v>0.3631944444444444</v>
      </c>
      <c r="F1650" s="4" t="n">
        <v>0.7909722222222222</v>
      </c>
      <c r="G1650" s="3">
        <f>IF($E1650="","空卡",IF($F1650="","单卡","正常"))</f>
        <v/>
      </c>
      <c r="H1650" s="5">
        <f>IF($G1650="正常",ROUND(($F1650-$E1650)*1440,0),"")</f>
        <v/>
      </c>
      <c r="I1650" s="6">
        <f>IF($G1650="正常",$H1650/60,"")</f>
        <v/>
      </c>
      <c r="J1650" s="7">
        <f>IF($G1650="正常",ROUND($H1650/30,0)/2,"")</f>
        <v/>
      </c>
      <c r="K1650" s="7">
        <f>IF($G1650="正常",MIN($J1650,12),"")</f>
        <v/>
      </c>
      <c r="L1650" s="7">
        <f>IF($G1650="正常",MAX($J1650-12,0),"")</f>
        <v/>
      </c>
    </row>
    <row r="1651">
      <c r="A1651" s="3" t="inlineStr">
        <is>
          <t>李光烈</t>
        </is>
      </c>
      <c r="B1651" s="3" t="inlineStr">
        <is>
          <t>8/7</t>
        </is>
      </c>
      <c r="C1651" s="3" t="inlineStr">
        <is>
          <t>五</t>
        </is>
      </c>
      <c r="D1651" s="3" t="inlineStr">
        <is>
          <t>07:54 19:59</t>
        </is>
      </c>
      <c r="E1651" s="4" t="n">
        <v>0.3291666666666667</v>
      </c>
      <c r="F1651" s="4" t="n">
        <v>0.8326388888888889</v>
      </c>
      <c r="G1651" s="3">
        <f>IF($E1651="","空卡",IF($F1651="","单卡","正常"))</f>
        <v/>
      </c>
      <c r="H1651" s="5">
        <f>IF($G1651="正常",ROUND(($F1651-$E1651)*1440,0),"")</f>
        <v/>
      </c>
      <c r="I1651" s="6">
        <f>IF($G1651="正常",$H1651/60,"")</f>
        <v/>
      </c>
      <c r="J1651" s="7">
        <f>IF($G1651="正常",ROUND($H1651/30,0)/2,"")</f>
        <v/>
      </c>
      <c r="K1651" s="7">
        <f>IF($G1651="正常",MIN($J1651,12),"")</f>
        <v/>
      </c>
      <c r="L1651" s="7">
        <f>IF($G1651="正常",MAX($J1651-12,0),"")</f>
        <v/>
      </c>
    </row>
    <row r="1652">
      <c r="A1652" s="3" t="inlineStr">
        <is>
          <t>李光烈</t>
        </is>
      </c>
      <c r="B1652" s="3" t="inlineStr">
        <is>
          <t>8/8</t>
        </is>
      </c>
      <c r="C1652" s="3" t="inlineStr">
        <is>
          <t>六</t>
        </is>
      </c>
      <c r="D1652" s="3" t="inlineStr">
        <is>
          <t>08:18 19:53</t>
        </is>
      </c>
      <c r="E1652" s="4" t="n">
        <v>0.3458333333333333</v>
      </c>
      <c r="F1652" s="4" t="n">
        <v>0.8284722222222223</v>
      </c>
      <c r="G1652" s="3">
        <f>IF($E1652="","空卡",IF($F1652="","单卡","正常"))</f>
        <v/>
      </c>
      <c r="H1652" s="5">
        <f>IF($G1652="正常",ROUND(($F1652-$E1652)*1440,0),"")</f>
        <v/>
      </c>
      <c r="I1652" s="6">
        <f>IF($G1652="正常",$H1652/60,"")</f>
        <v/>
      </c>
      <c r="J1652" s="7">
        <f>IF($G1652="正常",ROUND($H1652/30,0)/2,"")</f>
        <v/>
      </c>
      <c r="K1652" s="7">
        <f>IF($G1652="正常",MIN($J1652,12),"")</f>
        <v/>
      </c>
      <c r="L1652" s="7">
        <f>IF($G1652="正常",MAX($J1652-12,0),"")</f>
        <v/>
      </c>
    </row>
    <row r="1653">
      <c r="A1653" s="8" t="inlineStr">
        <is>
          <t>李光烈</t>
        </is>
      </c>
      <c r="B1653" s="8" t="inlineStr">
        <is>
          <t>8/9</t>
        </is>
      </c>
      <c r="C1653" s="8" t="inlineStr">
        <is>
          <t>日</t>
        </is>
      </c>
      <c r="D1653" s="8" t="inlineStr"/>
      <c r="E1653" s="9" t="n"/>
      <c r="F1653" s="9" t="n"/>
      <c r="G1653" s="10">
        <f>IF($E1653="","空卡",IF($F1653="","单卡","正常"))</f>
        <v/>
      </c>
      <c r="H1653" s="11">
        <f>IF($G1653="正常",ROUND(($F1653-$E1653)*1440,0),"")</f>
        <v/>
      </c>
      <c r="I1653" s="12">
        <f>IF($G1653="正常",$H1653/60,"")</f>
        <v/>
      </c>
      <c r="J1653" s="13">
        <f>IF($G1653="正常",ROUND($H1653/30,0)/2,"")</f>
        <v/>
      </c>
      <c r="K1653" s="13">
        <f>IF($G1653="正常",MIN($J1653,12),"")</f>
        <v/>
      </c>
      <c r="L1653" s="13">
        <f>IF($G1653="正常",MAX($J1653-12,0),"")</f>
        <v/>
      </c>
    </row>
    <row r="1654">
      <c r="A1654" s="3" t="inlineStr">
        <is>
          <t>李光烈</t>
        </is>
      </c>
      <c r="B1654" s="3" t="inlineStr">
        <is>
          <t>8/10</t>
        </is>
      </c>
      <c r="C1654" s="3" t="inlineStr">
        <is>
          <t>一</t>
        </is>
      </c>
      <c r="D1654" s="3" t="inlineStr">
        <is>
          <t>08:22 19:58</t>
        </is>
      </c>
      <c r="E1654" s="4" t="n">
        <v>0.3486111111111111</v>
      </c>
      <c r="F1654" s="4" t="n">
        <v>0.8319444444444445</v>
      </c>
      <c r="G1654" s="3">
        <f>IF($E1654="","空卡",IF($F1654="","单卡","正常"))</f>
        <v/>
      </c>
      <c r="H1654" s="5">
        <f>IF($G1654="正常",ROUND(($F1654-$E1654)*1440,0),"")</f>
        <v/>
      </c>
      <c r="I1654" s="6">
        <f>IF($G1654="正常",$H1654/60,"")</f>
        <v/>
      </c>
      <c r="J1654" s="7">
        <f>IF($G1654="正常",ROUND($H1654/30,0)/2,"")</f>
        <v/>
      </c>
      <c r="K1654" s="7">
        <f>IF($G1654="正常",MIN($J1654,12),"")</f>
        <v/>
      </c>
      <c r="L1654" s="7">
        <f>IF($G1654="正常",MAX($J1654-12,0),"")</f>
        <v/>
      </c>
    </row>
    <row r="1655">
      <c r="A1655" s="3" t="inlineStr">
        <is>
          <t>李光烈</t>
        </is>
      </c>
      <c r="B1655" s="3" t="inlineStr">
        <is>
          <t>8/11</t>
        </is>
      </c>
      <c r="C1655" s="3" t="inlineStr">
        <is>
          <t>二</t>
        </is>
      </c>
      <c r="D1655" s="3" t="inlineStr">
        <is>
          <t>08:20 18:09</t>
        </is>
      </c>
      <c r="E1655" s="4" t="n">
        <v>0.3472222222222222</v>
      </c>
      <c r="F1655" s="4" t="n">
        <v>0.75625</v>
      </c>
      <c r="G1655" s="3">
        <f>IF($E1655="","空卡",IF($F1655="","单卡","正常"))</f>
        <v/>
      </c>
      <c r="H1655" s="5">
        <f>IF($G1655="正常",ROUND(($F1655-$E1655)*1440,0),"")</f>
        <v/>
      </c>
      <c r="I1655" s="6">
        <f>IF($G1655="正常",$H1655/60,"")</f>
        <v/>
      </c>
      <c r="J1655" s="7">
        <f>IF($G1655="正常",ROUND($H1655/30,0)/2,"")</f>
        <v/>
      </c>
      <c r="K1655" s="7">
        <f>IF($G1655="正常",MIN($J1655,12),"")</f>
        <v/>
      </c>
      <c r="L1655" s="7">
        <f>IF($G1655="正常",MAX($J1655-12,0),"")</f>
        <v/>
      </c>
    </row>
    <row r="1656">
      <c r="A1656" s="3" t="inlineStr">
        <is>
          <t>李光烈</t>
        </is>
      </c>
      <c r="B1656" s="3" t="inlineStr">
        <is>
          <t>8/12</t>
        </is>
      </c>
      <c r="C1656" s="3" t="inlineStr">
        <is>
          <t>三</t>
        </is>
      </c>
      <c r="D1656" s="3" t="inlineStr">
        <is>
          <t>08:20 18:36</t>
        </is>
      </c>
      <c r="E1656" s="4" t="n">
        <v>0.3472222222222222</v>
      </c>
      <c r="F1656" s="4" t="n">
        <v>0.775</v>
      </c>
      <c r="G1656" s="3">
        <f>IF($E1656="","空卡",IF($F1656="","单卡","正常"))</f>
        <v/>
      </c>
      <c r="H1656" s="5">
        <f>IF($G1656="正常",ROUND(($F1656-$E1656)*1440,0),"")</f>
        <v/>
      </c>
      <c r="I1656" s="6">
        <f>IF($G1656="正常",$H1656/60,"")</f>
        <v/>
      </c>
      <c r="J1656" s="7">
        <f>IF($G1656="正常",ROUND($H1656/30,0)/2,"")</f>
        <v/>
      </c>
      <c r="K1656" s="7">
        <f>IF($G1656="正常",MIN($J1656,12),"")</f>
        <v/>
      </c>
      <c r="L1656" s="7">
        <f>IF($G1656="正常",MAX($J1656-12,0),"")</f>
        <v/>
      </c>
    </row>
    <row r="1657">
      <c r="A1657" s="8" t="inlineStr">
        <is>
          <t>李光烈</t>
        </is>
      </c>
      <c r="B1657" s="8" t="inlineStr">
        <is>
          <t>8/13</t>
        </is>
      </c>
      <c r="C1657" s="8" t="inlineStr">
        <is>
          <t>四</t>
        </is>
      </c>
      <c r="D1657" s="8" t="inlineStr"/>
      <c r="E1657" s="9" t="n"/>
      <c r="F1657" s="9" t="n"/>
      <c r="G1657" s="10">
        <f>IF($E1657="","空卡",IF($F1657="","单卡","正常"))</f>
        <v/>
      </c>
      <c r="H1657" s="11">
        <f>IF($G1657="正常",ROUND(($F1657-$E1657)*1440,0),"")</f>
        <v/>
      </c>
      <c r="I1657" s="12">
        <f>IF($G1657="正常",$H1657/60,"")</f>
        <v/>
      </c>
      <c r="J1657" s="13">
        <f>IF($G1657="正常",ROUND($H1657/30,0)/2,"")</f>
        <v/>
      </c>
      <c r="K1657" s="13">
        <f>IF($G1657="正常",MIN($J1657,12),"")</f>
        <v/>
      </c>
      <c r="L1657" s="13">
        <f>IF($G1657="正常",MAX($J1657-12,0),"")</f>
        <v/>
      </c>
    </row>
    <row r="1658">
      <c r="A1658" s="3" t="inlineStr">
        <is>
          <t>李光烈</t>
        </is>
      </c>
      <c r="B1658" s="3" t="inlineStr">
        <is>
          <t>8/14</t>
        </is>
      </c>
      <c r="C1658" s="3" t="inlineStr">
        <is>
          <t>五</t>
        </is>
      </c>
      <c r="D1658" s="3" t="inlineStr">
        <is>
          <t>06:55 20:56</t>
        </is>
      </c>
      <c r="E1658" s="4" t="n">
        <v>0.2881944444444444</v>
      </c>
      <c r="F1658" s="4" t="n">
        <v>0.8722222222222222</v>
      </c>
      <c r="G1658" s="3">
        <f>IF($E1658="","空卡",IF($F1658="","单卡","正常"))</f>
        <v/>
      </c>
      <c r="H1658" s="5">
        <f>IF($G1658="正常",ROUND(($F1658-$E1658)*1440,0),"")</f>
        <v/>
      </c>
      <c r="I1658" s="6">
        <f>IF($G1658="正常",$H1658/60,"")</f>
        <v/>
      </c>
      <c r="J1658" s="7">
        <f>IF($G1658="正常",ROUND($H1658/30,0)/2,"")</f>
        <v/>
      </c>
      <c r="K1658" s="7">
        <f>IF($G1658="正常",MIN($J1658,12),"")</f>
        <v/>
      </c>
      <c r="L1658" s="7">
        <f>IF($G1658="正常",MAX($J1658-12,0),"")</f>
        <v/>
      </c>
    </row>
    <row r="1659">
      <c r="A1659" s="3" t="inlineStr">
        <is>
          <t>李光烈</t>
        </is>
      </c>
      <c r="B1659" s="3" t="inlineStr">
        <is>
          <t>8/15</t>
        </is>
      </c>
      <c r="C1659" s="3" t="inlineStr">
        <is>
          <t>六</t>
        </is>
      </c>
      <c r="D1659" s="3" t="inlineStr">
        <is>
          <t>06:54 17:59</t>
        </is>
      </c>
      <c r="E1659" s="4" t="n">
        <v>0.2875</v>
      </c>
      <c r="F1659" s="4" t="n">
        <v>0.7493055555555556</v>
      </c>
      <c r="G1659" s="3">
        <f>IF($E1659="","空卡",IF($F1659="","单卡","正常"))</f>
        <v/>
      </c>
      <c r="H1659" s="5">
        <f>IF($G1659="正常",ROUND(($F1659-$E1659)*1440,0),"")</f>
        <v/>
      </c>
      <c r="I1659" s="6">
        <f>IF($G1659="正常",$H1659/60,"")</f>
        <v/>
      </c>
      <c r="J1659" s="7">
        <f>IF($G1659="正常",ROUND($H1659/30,0)/2,"")</f>
        <v/>
      </c>
      <c r="K1659" s="7">
        <f>IF($G1659="正常",MIN($J1659,12),"")</f>
        <v/>
      </c>
      <c r="L1659" s="7">
        <f>IF($G1659="正常",MAX($J1659-12,0),"")</f>
        <v/>
      </c>
    </row>
    <row r="1660">
      <c r="A1660" s="8" t="inlineStr">
        <is>
          <t>李光烈</t>
        </is>
      </c>
      <c r="B1660" s="8" t="inlineStr">
        <is>
          <t>8/16</t>
        </is>
      </c>
      <c r="C1660" s="8" t="inlineStr">
        <is>
          <t>日</t>
        </is>
      </c>
      <c r="D1660" s="8" t="inlineStr"/>
      <c r="E1660" s="9" t="n"/>
      <c r="F1660" s="9" t="n"/>
      <c r="G1660" s="10">
        <f>IF($E1660="","空卡",IF($F1660="","单卡","正常"))</f>
        <v/>
      </c>
      <c r="H1660" s="11">
        <f>IF($G1660="正常",ROUND(($F1660-$E1660)*1440,0),"")</f>
        <v/>
      </c>
      <c r="I1660" s="12">
        <f>IF($G1660="正常",$H1660/60,"")</f>
        <v/>
      </c>
      <c r="J1660" s="13">
        <f>IF($G1660="正常",ROUND($H1660/30,0)/2,"")</f>
        <v/>
      </c>
      <c r="K1660" s="13">
        <f>IF($G1660="正常",MIN($J1660,12),"")</f>
        <v/>
      </c>
      <c r="L1660" s="13">
        <f>IF($G1660="正常",MAX($J1660-12,0),"")</f>
        <v/>
      </c>
    </row>
    <row r="1661">
      <c r="A1661" s="3" t="inlineStr">
        <is>
          <t>李光烈</t>
        </is>
      </c>
      <c r="B1661" s="3" t="inlineStr">
        <is>
          <t>8/17</t>
        </is>
      </c>
      <c r="C1661" s="3" t="inlineStr">
        <is>
          <t>一</t>
        </is>
      </c>
      <c r="D1661" s="3" t="inlineStr">
        <is>
          <t>07:50 19:57</t>
        </is>
      </c>
      <c r="E1661" s="4" t="n">
        <v>0.3263888888888889</v>
      </c>
      <c r="F1661" s="4" t="n">
        <v>0.83125</v>
      </c>
      <c r="G1661" s="3">
        <f>IF($E1661="","空卡",IF($F1661="","单卡","正常"))</f>
        <v/>
      </c>
      <c r="H1661" s="5">
        <f>IF($G1661="正常",ROUND(($F1661-$E1661)*1440,0),"")</f>
        <v/>
      </c>
      <c r="I1661" s="6">
        <f>IF($G1661="正常",$H1661/60,"")</f>
        <v/>
      </c>
      <c r="J1661" s="7">
        <f>IF($G1661="正常",ROUND($H1661/30,0)/2,"")</f>
        <v/>
      </c>
      <c r="K1661" s="7">
        <f>IF($G1661="正常",MIN($J1661,12),"")</f>
        <v/>
      </c>
      <c r="L1661" s="7">
        <f>IF($G1661="正常",MAX($J1661-12,0),"")</f>
        <v/>
      </c>
    </row>
    <row r="1662">
      <c r="A1662" s="3" t="inlineStr">
        <is>
          <t>李光烈</t>
        </is>
      </c>
      <c r="B1662" s="3" t="inlineStr">
        <is>
          <t>8/18</t>
        </is>
      </c>
      <c r="C1662" s="3" t="inlineStr">
        <is>
          <t>二</t>
        </is>
      </c>
      <c r="D1662" s="3" t="inlineStr">
        <is>
          <t>07:50 18:57</t>
        </is>
      </c>
      <c r="E1662" s="4" t="n">
        <v>0.3263888888888889</v>
      </c>
      <c r="F1662" s="4" t="n">
        <v>0.7895833333333333</v>
      </c>
      <c r="G1662" s="3">
        <f>IF($E1662="","空卡",IF($F1662="","单卡","正常"))</f>
        <v/>
      </c>
      <c r="H1662" s="5">
        <f>IF($G1662="正常",ROUND(($F1662-$E1662)*1440,0),"")</f>
        <v/>
      </c>
      <c r="I1662" s="6">
        <f>IF($G1662="正常",$H1662/60,"")</f>
        <v/>
      </c>
      <c r="J1662" s="7">
        <f>IF($G1662="正常",ROUND($H1662/30,0)/2,"")</f>
        <v/>
      </c>
      <c r="K1662" s="7">
        <f>IF($G1662="正常",MIN($J1662,12),"")</f>
        <v/>
      </c>
      <c r="L1662" s="7">
        <f>IF($G1662="正常",MAX($J1662-12,0),"")</f>
        <v/>
      </c>
    </row>
    <row r="1663">
      <c r="A1663" s="3" t="inlineStr">
        <is>
          <t>李光烈</t>
        </is>
      </c>
      <c r="B1663" s="3" t="inlineStr">
        <is>
          <t>8/19</t>
        </is>
      </c>
      <c r="C1663" s="3" t="inlineStr">
        <is>
          <t>三</t>
        </is>
      </c>
      <c r="D1663" s="3" t="inlineStr">
        <is>
          <t>08:58 20:31</t>
        </is>
      </c>
      <c r="E1663" s="4" t="n">
        <v>0.3736111111111111</v>
      </c>
      <c r="F1663" s="4" t="n">
        <v>0.8548611111111111</v>
      </c>
      <c r="G1663" s="3">
        <f>IF($E1663="","空卡",IF($F1663="","单卡","正常"))</f>
        <v/>
      </c>
      <c r="H1663" s="5">
        <f>IF($G1663="正常",ROUND(($F1663-$E1663)*1440,0),"")</f>
        <v/>
      </c>
      <c r="I1663" s="6">
        <f>IF($G1663="正常",$H1663/60,"")</f>
        <v/>
      </c>
      <c r="J1663" s="7">
        <f>IF($G1663="正常",ROUND($H1663/30,0)/2,"")</f>
        <v/>
      </c>
      <c r="K1663" s="7">
        <f>IF($G1663="正常",MIN($J1663,12),"")</f>
        <v/>
      </c>
      <c r="L1663" s="7">
        <f>IF($G1663="正常",MAX($J1663-12,0),"")</f>
        <v/>
      </c>
    </row>
    <row r="1664">
      <c r="A1664" s="3" t="inlineStr">
        <is>
          <t>李光烈</t>
        </is>
      </c>
      <c r="B1664" s="3" t="inlineStr">
        <is>
          <t>8/20</t>
        </is>
      </c>
      <c r="C1664" s="3" t="inlineStr">
        <is>
          <t>四</t>
        </is>
      </c>
      <c r="D1664" s="3" t="inlineStr">
        <is>
          <t>08:27 19:57</t>
        </is>
      </c>
      <c r="E1664" s="4" t="n">
        <v>0.3520833333333334</v>
      </c>
      <c r="F1664" s="4" t="n">
        <v>0.83125</v>
      </c>
      <c r="G1664" s="3">
        <f>IF($E1664="","空卡",IF($F1664="","单卡","正常"))</f>
        <v/>
      </c>
      <c r="H1664" s="5">
        <f>IF($G1664="正常",ROUND(($F1664-$E1664)*1440,0),"")</f>
        <v/>
      </c>
      <c r="I1664" s="6">
        <f>IF($G1664="正常",$H1664/60,"")</f>
        <v/>
      </c>
      <c r="J1664" s="7">
        <f>IF($G1664="正常",ROUND($H1664/30,0)/2,"")</f>
        <v/>
      </c>
      <c r="K1664" s="7">
        <f>IF($G1664="正常",MIN($J1664,12),"")</f>
        <v/>
      </c>
      <c r="L1664" s="7">
        <f>IF($G1664="正常",MAX($J1664-12,0),"")</f>
        <v/>
      </c>
    </row>
    <row r="1665">
      <c r="A1665" s="3" t="inlineStr">
        <is>
          <t>李光烈</t>
        </is>
      </c>
      <c r="B1665" s="3" t="inlineStr">
        <is>
          <t>8/21</t>
        </is>
      </c>
      <c r="C1665" s="3" t="inlineStr">
        <is>
          <t>五</t>
        </is>
      </c>
      <c r="D1665" s="3" t="inlineStr">
        <is>
          <t>06:53 19:04</t>
        </is>
      </c>
      <c r="E1665" s="4" t="n">
        <v>0.2868055555555555</v>
      </c>
      <c r="F1665" s="4" t="n">
        <v>0.7944444444444444</v>
      </c>
      <c r="G1665" s="3">
        <f>IF($E1665="","空卡",IF($F1665="","单卡","正常"))</f>
        <v/>
      </c>
      <c r="H1665" s="5">
        <f>IF($G1665="正常",ROUND(($F1665-$E1665)*1440,0),"")</f>
        <v/>
      </c>
      <c r="I1665" s="6">
        <f>IF($G1665="正常",$H1665/60,"")</f>
        <v/>
      </c>
      <c r="J1665" s="7">
        <f>IF($G1665="正常",ROUND($H1665/30,0)/2,"")</f>
        <v/>
      </c>
      <c r="K1665" s="7">
        <f>IF($G1665="正常",MIN($J1665,12),"")</f>
        <v/>
      </c>
      <c r="L1665" s="7">
        <f>IF($G1665="正常",MAX($J1665-12,0),"")</f>
        <v/>
      </c>
    </row>
    <row r="1666">
      <c r="A1666" s="3" t="inlineStr">
        <is>
          <t>李光烈</t>
        </is>
      </c>
      <c r="B1666" s="3" t="inlineStr">
        <is>
          <t>8/22</t>
        </is>
      </c>
      <c r="C1666" s="3" t="inlineStr">
        <is>
          <t>六</t>
        </is>
      </c>
      <c r="D1666" s="3" t="inlineStr">
        <is>
          <t>06:55 18:28</t>
        </is>
      </c>
      <c r="E1666" s="4" t="n">
        <v>0.2881944444444444</v>
      </c>
      <c r="F1666" s="4" t="n">
        <v>0.7694444444444445</v>
      </c>
      <c r="G1666" s="3">
        <f>IF($E1666="","空卡",IF($F1666="","单卡","正常"))</f>
        <v/>
      </c>
      <c r="H1666" s="5">
        <f>IF($G1666="正常",ROUND(($F1666-$E1666)*1440,0),"")</f>
        <v/>
      </c>
      <c r="I1666" s="6">
        <f>IF($G1666="正常",$H1666/60,"")</f>
        <v/>
      </c>
      <c r="J1666" s="7">
        <f>IF($G1666="正常",ROUND($H1666/30,0)/2,"")</f>
        <v/>
      </c>
      <c r="K1666" s="7">
        <f>IF($G1666="正常",MIN($J1666,12),"")</f>
        <v/>
      </c>
      <c r="L1666" s="7">
        <f>IF($G1666="正常",MAX($J1666-12,0),"")</f>
        <v/>
      </c>
    </row>
    <row r="1667">
      <c r="A1667" s="3" t="inlineStr">
        <is>
          <t>李光烈</t>
        </is>
      </c>
      <c r="B1667" s="3" t="inlineStr">
        <is>
          <t>8/23</t>
        </is>
      </c>
      <c r="C1667" s="3" t="inlineStr">
        <is>
          <t>日</t>
        </is>
      </c>
      <c r="D1667" s="3" t="inlineStr">
        <is>
          <t>07:01 18:00</t>
        </is>
      </c>
      <c r="E1667" s="4" t="n">
        <v>0.2923611111111111</v>
      </c>
      <c r="F1667" s="4" t="n">
        <v>0.75</v>
      </c>
      <c r="G1667" s="3">
        <f>IF($E1667="","空卡",IF($F1667="","单卡","正常"))</f>
        <v/>
      </c>
      <c r="H1667" s="5">
        <f>IF($G1667="正常",ROUND(($F1667-$E1667)*1440,0),"")</f>
        <v/>
      </c>
      <c r="I1667" s="6">
        <f>IF($G1667="正常",$H1667/60,"")</f>
        <v/>
      </c>
      <c r="J1667" s="7">
        <f>IF($G1667="正常",ROUND($H1667/30,0)/2,"")</f>
        <v/>
      </c>
      <c r="K1667" s="7">
        <f>IF($G1667="正常",MIN($J1667,12),"")</f>
        <v/>
      </c>
      <c r="L1667" s="7">
        <f>IF($G1667="正常",MAX($J1667-12,0),"")</f>
        <v/>
      </c>
    </row>
    <row r="1668">
      <c r="A1668" s="3" t="inlineStr">
        <is>
          <t>李光烈</t>
        </is>
      </c>
      <c r="B1668" s="3" t="inlineStr">
        <is>
          <t>8/24</t>
        </is>
      </c>
      <c r="C1668" s="3" t="inlineStr">
        <is>
          <t>一</t>
        </is>
      </c>
      <c r="D1668" s="3" t="inlineStr">
        <is>
          <t>06:54 16:44</t>
        </is>
      </c>
      <c r="E1668" s="4" t="n">
        <v>0.2875</v>
      </c>
      <c r="F1668" s="4" t="n">
        <v>0.6972222222222222</v>
      </c>
      <c r="G1668" s="3">
        <f>IF($E1668="","空卡",IF($F1668="","单卡","正常"))</f>
        <v/>
      </c>
      <c r="H1668" s="5">
        <f>IF($G1668="正常",ROUND(($F1668-$E1668)*1440,0),"")</f>
        <v/>
      </c>
      <c r="I1668" s="6">
        <f>IF($G1668="正常",$H1668/60,"")</f>
        <v/>
      </c>
      <c r="J1668" s="7">
        <f>IF($G1668="正常",ROUND($H1668/30,0)/2,"")</f>
        <v/>
      </c>
      <c r="K1668" s="7">
        <f>IF($G1668="正常",MIN($J1668,12),"")</f>
        <v/>
      </c>
      <c r="L1668" s="7">
        <f>IF($G1668="正常",MAX($J1668-12,0),"")</f>
        <v/>
      </c>
    </row>
    <row r="1669">
      <c r="A1669" s="3" t="inlineStr">
        <is>
          <t>李光烈</t>
        </is>
      </c>
      <c r="B1669" s="3" t="inlineStr">
        <is>
          <t>8/25</t>
        </is>
      </c>
      <c r="C1669" s="3" t="inlineStr">
        <is>
          <t>二</t>
        </is>
      </c>
      <c r="D1669" s="3" t="inlineStr">
        <is>
          <t>08:25 18:37</t>
        </is>
      </c>
      <c r="E1669" s="4" t="n">
        <v>0.3506944444444444</v>
      </c>
      <c r="F1669" s="4" t="n">
        <v>0.7756944444444445</v>
      </c>
      <c r="G1669" s="3">
        <f>IF($E1669="","空卡",IF($F1669="","单卡","正常"))</f>
        <v/>
      </c>
      <c r="H1669" s="5">
        <f>IF($G1669="正常",ROUND(($F1669-$E1669)*1440,0),"")</f>
        <v/>
      </c>
      <c r="I1669" s="6">
        <f>IF($G1669="正常",$H1669/60,"")</f>
        <v/>
      </c>
      <c r="J1669" s="7">
        <f>IF($G1669="正常",ROUND($H1669/30,0)/2,"")</f>
        <v/>
      </c>
      <c r="K1669" s="7">
        <f>IF($G1669="正常",MIN($J1669,12),"")</f>
        <v/>
      </c>
      <c r="L1669" s="7">
        <f>IF($G1669="正常",MAX($J1669-12,0),"")</f>
        <v/>
      </c>
    </row>
    <row r="1670">
      <c r="A1670" s="3" t="inlineStr">
        <is>
          <t>李光烈</t>
        </is>
      </c>
      <c r="B1670" s="3" t="inlineStr">
        <is>
          <t>8/26</t>
        </is>
      </c>
      <c r="C1670" s="3" t="inlineStr">
        <is>
          <t>三</t>
        </is>
      </c>
      <c r="D1670" s="3" t="inlineStr">
        <is>
          <t>07:53 18:54</t>
        </is>
      </c>
      <c r="E1670" s="4" t="n">
        <v>0.3284722222222222</v>
      </c>
      <c r="F1670" s="4" t="n">
        <v>0.7875</v>
      </c>
      <c r="G1670" s="3">
        <f>IF($E1670="","空卡",IF($F1670="","单卡","正常"))</f>
        <v/>
      </c>
      <c r="H1670" s="5">
        <f>IF($G1670="正常",ROUND(($F1670-$E1670)*1440,0),"")</f>
        <v/>
      </c>
      <c r="I1670" s="6">
        <f>IF($G1670="正常",$H1670/60,"")</f>
        <v/>
      </c>
      <c r="J1670" s="7">
        <f>IF($G1670="正常",ROUND($H1670/30,0)/2,"")</f>
        <v/>
      </c>
      <c r="K1670" s="7">
        <f>IF($G1670="正常",MIN($J1670,12),"")</f>
        <v/>
      </c>
      <c r="L1670" s="7">
        <f>IF($G1670="正常",MAX($J1670-12,0),"")</f>
        <v/>
      </c>
    </row>
    <row r="1671">
      <c r="A1671" s="3" t="inlineStr">
        <is>
          <t>李光烈</t>
        </is>
      </c>
      <c r="B1671" s="3" t="inlineStr">
        <is>
          <t>8/27</t>
        </is>
      </c>
      <c r="C1671" s="3" t="inlineStr">
        <is>
          <t>四</t>
        </is>
      </c>
      <c r="D1671" s="3" t="inlineStr">
        <is>
          <t>07:51 19:08</t>
        </is>
      </c>
      <c r="E1671" s="4" t="n">
        <v>0.3270833333333333</v>
      </c>
      <c r="F1671" s="4" t="n">
        <v>0.7972222222222223</v>
      </c>
      <c r="G1671" s="3">
        <f>IF($E1671="","空卡",IF($F1671="","单卡","正常"))</f>
        <v/>
      </c>
      <c r="H1671" s="5">
        <f>IF($G1671="正常",ROUND(($F1671-$E1671)*1440,0),"")</f>
        <v/>
      </c>
      <c r="I1671" s="6">
        <f>IF($G1671="正常",$H1671/60,"")</f>
        <v/>
      </c>
      <c r="J1671" s="7">
        <f>IF($G1671="正常",ROUND($H1671/30,0)/2,"")</f>
        <v/>
      </c>
      <c r="K1671" s="7">
        <f>IF($G1671="正常",MIN($J1671,12),"")</f>
        <v/>
      </c>
      <c r="L1671" s="7">
        <f>IF($G1671="正常",MAX($J1671-12,0),"")</f>
        <v/>
      </c>
    </row>
    <row r="1672">
      <c r="A1672" s="3" t="inlineStr">
        <is>
          <t>李光烈</t>
        </is>
      </c>
      <c r="B1672" s="3" t="inlineStr">
        <is>
          <t>8/28</t>
        </is>
      </c>
      <c r="C1672" s="3" t="inlineStr">
        <is>
          <t>五</t>
        </is>
      </c>
      <c r="D1672" s="3" t="inlineStr">
        <is>
          <t>07:51 18:28</t>
        </is>
      </c>
      <c r="E1672" s="4" t="n">
        <v>0.3270833333333333</v>
      </c>
      <c r="F1672" s="4" t="n">
        <v>0.7694444444444445</v>
      </c>
      <c r="G1672" s="3">
        <f>IF($E1672="","空卡",IF($F1672="","单卡","正常"))</f>
        <v/>
      </c>
      <c r="H1672" s="5">
        <f>IF($G1672="正常",ROUND(($F1672-$E1672)*1440,0),"")</f>
        <v/>
      </c>
      <c r="I1672" s="6">
        <f>IF($G1672="正常",$H1672/60,"")</f>
        <v/>
      </c>
      <c r="J1672" s="7">
        <f>IF($G1672="正常",ROUND($H1672/30,0)/2,"")</f>
        <v/>
      </c>
      <c r="K1672" s="7">
        <f>IF($G1672="正常",MIN($J1672,12),"")</f>
        <v/>
      </c>
      <c r="L1672" s="7">
        <f>IF($G1672="正常",MAX($J1672-12,0),"")</f>
        <v/>
      </c>
    </row>
    <row r="1673">
      <c r="A1673" s="3" t="inlineStr">
        <is>
          <t>李光烈</t>
        </is>
      </c>
      <c r="B1673" s="3" t="inlineStr">
        <is>
          <t>8/29</t>
        </is>
      </c>
      <c r="C1673" s="3" t="inlineStr">
        <is>
          <t>六</t>
        </is>
      </c>
      <c r="D1673" s="3" t="inlineStr">
        <is>
          <t>07:51 21:59</t>
        </is>
      </c>
      <c r="E1673" s="4" t="n">
        <v>0.3270833333333333</v>
      </c>
      <c r="F1673" s="4" t="n">
        <v>0.9159722222222222</v>
      </c>
      <c r="G1673" s="3">
        <f>IF($E1673="","空卡",IF($F1673="","单卡","正常"))</f>
        <v/>
      </c>
      <c r="H1673" s="5">
        <f>IF($G1673="正常",ROUND(($F1673-$E1673)*1440,0),"")</f>
        <v/>
      </c>
      <c r="I1673" s="6">
        <f>IF($G1673="正常",$H1673/60,"")</f>
        <v/>
      </c>
      <c r="J1673" s="7">
        <f>IF($G1673="正常",ROUND($H1673/30,0)/2,"")</f>
        <v/>
      </c>
      <c r="K1673" s="7">
        <f>IF($G1673="正常",MIN($J1673,12),"")</f>
        <v/>
      </c>
      <c r="L1673" s="7">
        <f>IF($G1673="正常",MAX($J1673-12,0),"")</f>
        <v/>
      </c>
    </row>
    <row r="1674">
      <c r="A1674" s="3" t="inlineStr">
        <is>
          <t>李光烈</t>
        </is>
      </c>
      <c r="B1674" s="3" t="inlineStr">
        <is>
          <t>8/30</t>
        </is>
      </c>
      <c r="C1674" s="3" t="inlineStr">
        <is>
          <t>日</t>
        </is>
      </c>
      <c r="D1674" s="3" t="inlineStr">
        <is>
          <t>07:51 18:41</t>
        </is>
      </c>
      <c r="E1674" s="4" t="n">
        <v>0.3270833333333333</v>
      </c>
      <c r="F1674" s="4" t="n">
        <v>0.7784722222222222</v>
      </c>
      <c r="G1674" s="3">
        <f>IF($E1674="","空卡",IF($F1674="","单卡","正常"))</f>
        <v/>
      </c>
      <c r="H1674" s="5">
        <f>IF($G1674="正常",ROUND(($F1674-$E1674)*1440,0),"")</f>
        <v/>
      </c>
      <c r="I1674" s="6">
        <f>IF($G1674="正常",$H1674/60,"")</f>
        <v/>
      </c>
      <c r="J1674" s="7">
        <f>IF($G1674="正常",ROUND($H1674/30,0)/2,"")</f>
        <v/>
      </c>
      <c r="K1674" s="7">
        <f>IF($G1674="正常",MIN($J1674,12),"")</f>
        <v/>
      </c>
      <c r="L1674" s="7">
        <f>IF($G1674="正常",MAX($J1674-12,0),"")</f>
        <v/>
      </c>
    </row>
    <row r="1675">
      <c r="A1675" s="8" t="inlineStr">
        <is>
          <t>李光烈</t>
        </is>
      </c>
      <c r="B1675" s="8" t="inlineStr">
        <is>
          <t>8/31</t>
        </is>
      </c>
      <c r="C1675" s="8" t="inlineStr">
        <is>
          <t>一</t>
        </is>
      </c>
      <c r="D1675" s="8" t="inlineStr"/>
      <c r="E1675" s="9" t="n"/>
      <c r="F1675" s="9" t="n"/>
      <c r="G1675" s="10">
        <f>IF($E1675="","空卡",IF($F1675="","单卡","正常"))</f>
        <v/>
      </c>
      <c r="H1675" s="11">
        <f>IF($G1675="正常",ROUND(($F1675-$E1675)*1440,0),"")</f>
        <v/>
      </c>
      <c r="I1675" s="12">
        <f>IF($G1675="正常",$H1675/60,"")</f>
        <v/>
      </c>
      <c r="J1675" s="13">
        <f>IF($G1675="正常",ROUND($H1675/30,0)/2,"")</f>
        <v/>
      </c>
      <c r="K1675" s="13">
        <f>IF($G1675="正常",MIN($J1675,12),"")</f>
        <v/>
      </c>
      <c r="L1675" s="13">
        <f>IF($G1675="正常",MAX($J1675-12,0),"")</f>
        <v/>
      </c>
    </row>
    <row r="1676">
      <c r="A1676" s="8" t="inlineStr">
        <is>
          <t>何胜洪</t>
        </is>
      </c>
      <c r="B1676" s="8" t="inlineStr">
        <is>
          <t>8/1</t>
        </is>
      </c>
      <c r="C1676" s="8" t="inlineStr">
        <is>
          <t>六</t>
        </is>
      </c>
      <c r="D1676" s="8" t="inlineStr"/>
      <c r="E1676" s="9" t="n"/>
      <c r="F1676" s="9" t="n"/>
      <c r="G1676" s="10">
        <f>IF($E1676="","空卡",IF($F1676="","单卡","正常"))</f>
        <v/>
      </c>
      <c r="H1676" s="11">
        <f>IF($G1676="正常",ROUND(($F1676-$E1676)*1440,0),"")</f>
        <v/>
      </c>
      <c r="I1676" s="12">
        <f>IF($G1676="正常",$H1676/60,"")</f>
        <v/>
      </c>
      <c r="J1676" s="13">
        <f>IF($G1676="正常",ROUND($H1676/30,0)/2,"")</f>
        <v/>
      </c>
      <c r="K1676" s="13">
        <f>IF($G1676="正常",MIN($J1676,12),"")</f>
        <v/>
      </c>
      <c r="L1676" s="13">
        <f>IF($G1676="正常",MAX($J1676-12,0),"")</f>
        <v/>
      </c>
    </row>
    <row r="1677">
      <c r="A1677" s="8" t="inlineStr">
        <is>
          <t>何胜洪</t>
        </is>
      </c>
      <c r="B1677" s="8" t="inlineStr">
        <is>
          <t>8/2</t>
        </is>
      </c>
      <c r="C1677" s="8" t="inlineStr">
        <is>
          <t>日</t>
        </is>
      </c>
      <c r="D1677" s="8" t="inlineStr"/>
      <c r="E1677" s="9" t="n"/>
      <c r="F1677" s="9" t="n"/>
      <c r="G1677" s="10">
        <f>IF($E1677="","空卡",IF($F1677="","单卡","正常"))</f>
        <v/>
      </c>
      <c r="H1677" s="11">
        <f>IF($G1677="正常",ROUND(($F1677-$E1677)*1440,0),"")</f>
        <v/>
      </c>
      <c r="I1677" s="12">
        <f>IF($G1677="正常",$H1677/60,"")</f>
        <v/>
      </c>
      <c r="J1677" s="13">
        <f>IF($G1677="正常",ROUND($H1677/30,0)/2,"")</f>
        <v/>
      </c>
      <c r="K1677" s="13">
        <f>IF($G1677="正常",MIN($J1677,12),"")</f>
        <v/>
      </c>
      <c r="L1677" s="13">
        <f>IF($G1677="正常",MAX($J1677-12,0),"")</f>
        <v/>
      </c>
    </row>
    <row r="1678">
      <c r="A1678" s="8" t="inlineStr">
        <is>
          <t>何胜洪</t>
        </is>
      </c>
      <c r="B1678" s="8" t="inlineStr">
        <is>
          <t>8/3</t>
        </is>
      </c>
      <c r="C1678" s="8" t="inlineStr">
        <is>
          <t>一</t>
        </is>
      </c>
      <c r="D1678" s="8" t="inlineStr"/>
      <c r="E1678" s="9" t="n"/>
      <c r="F1678" s="9" t="n"/>
      <c r="G1678" s="10">
        <f>IF($E1678="","空卡",IF($F1678="","单卡","正常"))</f>
        <v/>
      </c>
      <c r="H1678" s="11">
        <f>IF($G1678="正常",ROUND(($F1678-$E1678)*1440,0),"")</f>
        <v/>
      </c>
      <c r="I1678" s="12">
        <f>IF($G1678="正常",$H1678/60,"")</f>
        <v/>
      </c>
      <c r="J1678" s="13">
        <f>IF($G1678="正常",ROUND($H1678/30,0)/2,"")</f>
        <v/>
      </c>
      <c r="K1678" s="13">
        <f>IF($G1678="正常",MIN($J1678,12),"")</f>
        <v/>
      </c>
      <c r="L1678" s="13">
        <f>IF($G1678="正常",MAX($J1678-12,0),"")</f>
        <v/>
      </c>
    </row>
    <row r="1679">
      <c r="A1679" s="8" t="inlineStr">
        <is>
          <t>何胜洪</t>
        </is>
      </c>
      <c r="B1679" s="8" t="inlineStr">
        <is>
          <t>8/4</t>
        </is>
      </c>
      <c r="C1679" s="8" t="inlineStr">
        <is>
          <t>二</t>
        </is>
      </c>
      <c r="D1679" s="8" t="inlineStr"/>
      <c r="E1679" s="9" t="n"/>
      <c r="F1679" s="9" t="n"/>
      <c r="G1679" s="10">
        <f>IF($E1679="","空卡",IF($F1679="","单卡","正常"))</f>
        <v/>
      </c>
      <c r="H1679" s="11">
        <f>IF($G1679="正常",ROUND(($F1679-$E1679)*1440,0),"")</f>
        <v/>
      </c>
      <c r="I1679" s="12">
        <f>IF($G1679="正常",$H1679/60,"")</f>
        <v/>
      </c>
      <c r="J1679" s="13">
        <f>IF($G1679="正常",ROUND($H1679/30,0)/2,"")</f>
        <v/>
      </c>
      <c r="K1679" s="13">
        <f>IF($G1679="正常",MIN($J1679,12),"")</f>
        <v/>
      </c>
      <c r="L1679" s="13">
        <f>IF($G1679="正常",MAX($J1679-12,0),"")</f>
        <v/>
      </c>
    </row>
    <row r="1680">
      <c r="A1680" s="8" t="inlineStr">
        <is>
          <t>何胜洪</t>
        </is>
      </c>
      <c r="B1680" s="8" t="inlineStr">
        <is>
          <t>8/5</t>
        </is>
      </c>
      <c r="C1680" s="8" t="inlineStr">
        <is>
          <t>三</t>
        </is>
      </c>
      <c r="D1680" s="8" t="inlineStr"/>
      <c r="E1680" s="9" t="n"/>
      <c r="F1680" s="9" t="n"/>
      <c r="G1680" s="10">
        <f>IF($E1680="","空卡",IF($F1680="","单卡","正常"))</f>
        <v/>
      </c>
      <c r="H1680" s="11">
        <f>IF($G1680="正常",ROUND(($F1680-$E1680)*1440,0),"")</f>
        <v/>
      </c>
      <c r="I1680" s="12">
        <f>IF($G1680="正常",$H1680/60,"")</f>
        <v/>
      </c>
      <c r="J1680" s="13">
        <f>IF($G1680="正常",ROUND($H1680/30,0)/2,"")</f>
        <v/>
      </c>
      <c r="K1680" s="13">
        <f>IF($G1680="正常",MIN($J1680,12),"")</f>
        <v/>
      </c>
      <c r="L1680" s="13">
        <f>IF($G1680="正常",MAX($J1680-12,0),"")</f>
        <v/>
      </c>
    </row>
    <row r="1681">
      <c r="A1681" s="8" t="inlineStr">
        <is>
          <t>何胜洪</t>
        </is>
      </c>
      <c r="B1681" s="8" t="inlineStr">
        <is>
          <t>8/6</t>
        </is>
      </c>
      <c r="C1681" s="8" t="inlineStr">
        <is>
          <t>四</t>
        </is>
      </c>
      <c r="D1681" s="8" t="inlineStr"/>
      <c r="E1681" s="9" t="n"/>
      <c r="F1681" s="9" t="n"/>
      <c r="G1681" s="10">
        <f>IF($E1681="","空卡",IF($F1681="","单卡","正常"))</f>
        <v/>
      </c>
      <c r="H1681" s="11">
        <f>IF($G1681="正常",ROUND(($F1681-$E1681)*1440,0),"")</f>
        <v/>
      </c>
      <c r="I1681" s="12">
        <f>IF($G1681="正常",$H1681/60,"")</f>
        <v/>
      </c>
      <c r="J1681" s="13">
        <f>IF($G1681="正常",ROUND($H1681/30,0)/2,"")</f>
        <v/>
      </c>
      <c r="K1681" s="13">
        <f>IF($G1681="正常",MIN($J1681,12),"")</f>
        <v/>
      </c>
      <c r="L1681" s="13">
        <f>IF($G1681="正常",MAX($J1681-12,0),"")</f>
        <v/>
      </c>
    </row>
    <row r="1682">
      <c r="A1682" s="8" t="inlineStr">
        <is>
          <t>何胜洪</t>
        </is>
      </c>
      <c r="B1682" s="8" t="inlineStr">
        <is>
          <t>8/7</t>
        </is>
      </c>
      <c r="C1682" s="8" t="inlineStr">
        <is>
          <t>五</t>
        </is>
      </c>
      <c r="D1682" s="8" t="inlineStr"/>
      <c r="E1682" s="9" t="n"/>
      <c r="F1682" s="9" t="n"/>
      <c r="G1682" s="10">
        <f>IF($E1682="","空卡",IF($F1682="","单卡","正常"))</f>
        <v/>
      </c>
      <c r="H1682" s="11">
        <f>IF($G1682="正常",ROUND(($F1682-$E1682)*1440,0),"")</f>
        <v/>
      </c>
      <c r="I1682" s="12">
        <f>IF($G1682="正常",$H1682/60,"")</f>
        <v/>
      </c>
      <c r="J1682" s="13">
        <f>IF($G1682="正常",ROUND($H1682/30,0)/2,"")</f>
        <v/>
      </c>
      <c r="K1682" s="13">
        <f>IF($G1682="正常",MIN($J1682,12),"")</f>
        <v/>
      </c>
      <c r="L1682" s="13">
        <f>IF($G1682="正常",MAX($J1682-12,0),"")</f>
        <v/>
      </c>
    </row>
    <row r="1683">
      <c r="A1683" s="8" t="inlineStr">
        <is>
          <t>何胜洪</t>
        </is>
      </c>
      <c r="B1683" s="8" t="inlineStr">
        <is>
          <t>8/8</t>
        </is>
      </c>
      <c r="C1683" s="8" t="inlineStr">
        <is>
          <t>六</t>
        </is>
      </c>
      <c r="D1683" s="8" t="inlineStr"/>
      <c r="E1683" s="9" t="n"/>
      <c r="F1683" s="9" t="n"/>
      <c r="G1683" s="10">
        <f>IF($E1683="","空卡",IF($F1683="","单卡","正常"))</f>
        <v/>
      </c>
      <c r="H1683" s="11">
        <f>IF($G1683="正常",ROUND(($F1683-$E1683)*1440,0),"")</f>
        <v/>
      </c>
      <c r="I1683" s="12">
        <f>IF($G1683="正常",$H1683/60,"")</f>
        <v/>
      </c>
      <c r="J1683" s="13">
        <f>IF($G1683="正常",ROUND($H1683/30,0)/2,"")</f>
        <v/>
      </c>
      <c r="K1683" s="13">
        <f>IF($G1683="正常",MIN($J1683,12),"")</f>
        <v/>
      </c>
      <c r="L1683" s="13">
        <f>IF($G1683="正常",MAX($J1683-12,0),"")</f>
        <v/>
      </c>
    </row>
    <row r="1684">
      <c r="A1684" s="8" t="inlineStr">
        <is>
          <t>何胜洪</t>
        </is>
      </c>
      <c r="B1684" s="8" t="inlineStr">
        <is>
          <t>8/9</t>
        </is>
      </c>
      <c r="C1684" s="8" t="inlineStr">
        <is>
          <t>日</t>
        </is>
      </c>
      <c r="D1684" s="8" t="inlineStr"/>
      <c r="E1684" s="9" t="n"/>
      <c r="F1684" s="9" t="n"/>
      <c r="G1684" s="10">
        <f>IF($E1684="","空卡",IF($F1684="","单卡","正常"))</f>
        <v/>
      </c>
      <c r="H1684" s="11">
        <f>IF($G1684="正常",ROUND(($F1684-$E1684)*1440,0),"")</f>
        <v/>
      </c>
      <c r="I1684" s="12">
        <f>IF($G1684="正常",$H1684/60,"")</f>
        <v/>
      </c>
      <c r="J1684" s="13">
        <f>IF($G1684="正常",ROUND($H1684/30,0)/2,"")</f>
        <v/>
      </c>
      <c r="K1684" s="13">
        <f>IF($G1684="正常",MIN($J1684,12),"")</f>
        <v/>
      </c>
      <c r="L1684" s="13">
        <f>IF($G1684="正常",MAX($J1684-12,0),"")</f>
        <v/>
      </c>
    </row>
    <row r="1685">
      <c r="A1685" s="3" t="inlineStr">
        <is>
          <t>何胜洪</t>
        </is>
      </c>
      <c r="B1685" s="3" t="inlineStr">
        <is>
          <t>8/10</t>
        </is>
      </c>
      <c r="C1685" s="3" t="inlineStr">
        <is>
          <t>一</t>
        </is>
      </c>
      <c r="D1685" s="3" t="inlineStr">
        <is>
          <t>08:17 19:07</t>
        </is>
      </c>
      <c r="E1685" s="4" t="n">
        <v>0.3451388888888889</v>
      </c>
      <c r="F1685" s="4" t="n">
        <v>0.7965277777777777</v>
      </c>
      <c r="G1685" s="3">
        <f>IF($E1685="","空卡",IF($F1685="","单卡","正常"))</f>
        <v/>
      </c>
      <c r="H1685" s="5">
        <f>IF($G1685="正常",ROUND(($F1685-$E1685)*1440,0),"")</f>
        <v/>
      </c>
      <c r="I1685" s="6">
        <f>IF($G1685="正常",$H1685/60,"")</f>
        <v/>
      </c>
      <c r="J1685" s="7">
        <f>IF($G1685="正常",ROUND($H1685/30,0)/2,"")</f>
        <v/>
      </c>
      <c r="K1685" s="7">
        <f>IF($G1685="正常",MIN($J1685,12),"")</f>
        <v/>
      </c>
      <c r="L1685" s="7">
        <f>IF($G1685="正常",MAX($J1685-12,0),"")</f>
        <v/>
      </c>
    </row>
    <row r="1686">
      <c r="A1686" s="3" t="inlineStr">
        <is>
          <t>何胜洪</t>
        </is>
      </c>
      <c r="B1686" s="3" t="inlineStr">
        <is>
          <t>8/11</t>
        </is>
      </c>
      <c r="C1686" s="3" t="inlineStr">
        <is>
          <t>二</t>
        </is>
      </c>
      <c r="D1686" s="3" t="inlineStr">
        <is>
          <t>08:20 18:06</t>
        </is>
      </c>
      <c r="E1686" s="4" t="n">
        <v>0.3472222222222222</v>
      </c>
      <c r="F1686" s="4" t="n">
        <v>0.7541666666666667</v>
      </c>
      <c r="G1686" s="3">
        <f>IF($E1686="","空卡",IF($F1686="","单卡","正常"))</f>
        <v/>
      </c>
      <c r="H1686" s="5">
        <f>IF($G1686="正常",ROUND(($F1686-$E1686)*1440,0),"")</f>
        <v/>
      </c>
      <c r="I1686" s="6">
        <f>IF($G1686="正常",$H1686/60,"")</f>
        <v/>
      </c>
      <c r="J1686" s="7">
        <f>IF($G1686="正常",ROUND($H1686/30,0)/2,"")</f>
        <v/>
      </c>
      <c r="K1686" s="7">
        <f>IF($G1686="正常",MIN($J1686,12),"")</f>
        <v/>
      </c>
      <c r="L1686" s="7">
        <f>IF($G1686="正常",MAX($J1686-12,0),"")</f>
        <v/>
      </c>
    </row>
    <row r="1687">
      <c r="A1687" s="3" t="inlineStr">
        <is>
          <t>何胜洪</t>
        </is>
      </c>
      <c r="B1687" s="3" t="inlineStr">
        <is>
          <t>8/12</t>
        </is>
      </c>
      <c r="C1687" s="3" t="inlineStr">
        <is>
          <t>三</t>
        </is>
      </c>
      <c r="D1687" s="3" t="inlineStr">
        <is>
          <t>09:50 18:34</t>
        </is>
      </c>
      <c r="E1687" s="4" t="n">
        <v>0.4097222222222222</v>
      </c>
      <c r="F1687" s="4" t="n">
        <v>0.7736111111111111</v>
      </c>
      <c r="G1687" s="3">
        <f>IF($E1687="","空卡",IF($F1687="","单卡","正常"))</f>
        <v/>
      </c>
      <c r="H1687" s="5">
        <f>IF($G1687="正常",ROUND(($F1687-$E1687)*1440,0),"")</f>
        <v/>
      </c>
      <c r="I1687" s="6">
        <f>IF($G1687="正常",$H1687/60,"")</f>
        <v/>
      </c>
      <c r="J1687" s="7">
        <f>IF($G1687="正常",ROUND($H1687/30,0)/2,"")</f>
        <v/>
      </c>
      <c r="K1687" s="7">
        <f>IF($G1687="正常",MIN($J1687,12),"")</f>
        <v/>
      </c>
      <c r="L1687" s="7">
        <f>IF($G1687="正常",MAX($J1687-12,0),"")</f>
        <v/>
      </c>
    </row>
    <row r="1688">
      <c r="A1688" s="8" t="inlineStr">
        <is>
          <t>何胜洪</t>
        </is>
      </c>
      <c r="B1688" s="8" t="inlineStr">
        <is>
          <t>8/13</t>
        </is>
      </c>
      <c r="C1688" s="8" t="inlineStr">
        <is>
          <t>四</t>
        </is>
      </c>
      <c r="D1688" s="8" t="inlineStr">
        <is>
          <t>08:21</t>
        </is>
      </c>
      <c r="E1688" s="9" t="n">
        <v>0.3479166666666667</v>
      </c>
      <c r="F1688" s="9" t="n"/>
      <c r="G1688" s="10">
        <f>IF($E1688="","空卡",IF($F1688="","单卡","正常"))</f>
        <v/>
      </c>
      <c r="H1688" s="11">
        <f>IF($G1688="正常",ROUND(($F1688-$E1688)*1440,0),"")</f>
        <v/>
      </c>
      <c r="I1688" s="12">
        <f>IF($G1688="正常",$H1688/60,"")</f>
        <v/>
      </c>
      <c r="J1688" s="13">
        <f>IF($G1688="正常",ROUND($H1688/30,0)/2,"")</f>
        <v/>
      </c>
      <c r="K1688" s="13">
        <f>IF($G1688="正常",MIN($J1688,12),"")</f>
        <v/>
      </c>
      <c r="L1688" s="13">
        <f>IF($G1688="正常",MAX($J1688-12,0),"")</f>
        <v/>
      </c>
    </row>
    <row r="1689">
      <c r="A1689" s="3" t="inlineStr">
        <is>
          <t>何胜洪</t>
        </is>
      </c>
      <c r="B1689" s="3" t="inlineStr">
        <is>
          <t>8/14</t>
        </is>
      </c>
      <c r="C1689" s="3" t="inlineStr">
        <is>
          <t>五</t>
        </is>
      </c>
      <c r="D1689" s="3" t="inlineStr">
        <is>
          <t>08:19 08:24 19:00</t>
        </is>
      </c>
      <c r="E1689" s="4" t="n">
        <v>0.3465277777777778</v>
      </c>
      <c r="F1689" s="4" t="n">
        <v>0.7916666666666666</v>
      </c>
      <c r="G1689" s="3">
        <f>IF($E1689="","空卡",IF($F1689="","单卡","正常"))</f>
        <v/>
      </c>
      <c r="H1689" s="5">
        <f>IF($G1689="正常",ROUND(($F1689-$E1689)*1440,0),"")</f>
        <v/>
      </c>
      <c r="I1689" s="6">
        <f>IF($G1689="正常",$H1689/60,"")</f>
        <v/>
      </c>
      <c r="J1689" s="7">
        <f>IF($G1689="正常",ROUND($H1689/30,0)/2,"")</f>
        <v/>
      </c>
      <c r="K1689" s="7">
        <f>IF($G1689="正常",MIN($J1689,12),"")</f>
        <v/>
      </c>
      <c r="L1689" s="7">
        <f>IF($G1689="正常",MAX($J1689-12,0),"")</f>
        <v/>
      </c>
    </row>
    <row r="1690">
      <c r="A1690" s="3" t="inlineStr">
        <is>
          <t>何胜洪</t>
        </is>
      </c>
      <c r="B1690" s="3" t="inlineStr">
        <is>
          <t>8/15</t>
        </is>
      </c>
      <c r="C1690" s="3" t="inlineStr">
        <is>
          <t>六</t>
        </is>
      </c>
      <c r="D1690" s="3" t="inlineStr">
        <is>
          <t>06:49 18:57</t>
        </is>
      </c>
      <c r="E1690" s="4" t="n">
        <v>0.2840277777777778</v>
      </c>
      <c r="F1690" s="4" t="n">
        <v>0.7895833333333333</v>
      </c>
      <c r="G1690" s="3">
        <f>IF($E1690="","空卡",IF($F1690="","单卡","正常"))</f>
        <v/>
      </c>
      <c r="H1690" s="5">
        <f>IF($G1690="正常",ROUND(($F1690-$E1690)*1440,0),"")</f>
        <v/>
      </c>
      <c r="I1690" s="6">
        <f>IF($G1690="正常",$H1690/60,"")</f>
        <v/>
      </c>
      <c r="J1690" s="7">
        <f>IF($G1690="正常",ROUND($H1690/30,0)/2,"")</f>
        <v/>
      </c>
      <c r="K1690" s="7">
        <f>IF($G1690="正常",MIN($J1690,12),"")</f>
        <v/>
      </c>
      <c r="L1690" s="7">
        <f>IF($G1690="正常",MAX($J1690-12,0),"")</f>
        <v/>
      </c>
    </row>
    <row r="1691">
      <c r="A1691" s="8" t="inlineStr">
        <is>
          <t>何胜洪</t>
        </is>
      </c>
      <c r="B1691" s="8" t="inlineStr">
        <is>
          <t>8/16</t>
        </is>
      </c>
      <c r="C1691" s="8" t="inlineStr">
        <is>
          <t>日</t>
        </is>
      </c>
      <c r="D1691" s="8" t="inlineStr"/>
      <c r="E1691" s="9" t="n"/>
      <c r="F1691" s="9" t="n"/>
      <c r="G1691" s="10">
        <f>IF($E1691="","空卡",IF($F1691="","单卡","正常"))</f>
        <v/>
      </c>
      <c r="H1691" s="11">
        <f>IF($G1691="正常",ROUND(($F1691-$E1691)*1440,0),"")</f>
        <v/>
      </c>
      <c r="I1691" s="12">
        <f>IF($G1691="正常",$H1691/60,"")</f>
        <v/>
      </c>
      <c r="J1691" s="13">
        <f>IF($G1691="正常",ROUND($H1691/30,0)/2,"")</f>
        <v/>
      </c>
      <c r="K1691" s="13">
        <f>IF($G1691="正常",MIN($J1691,12),"")</f>
        <v/>
      </c>
      <c r="L1691" s="13">
        <f>IF($G1691="正常",MAX($J1691-12,0),"")</f>
        <v/>
      </c>
    </row>
    <row r="1692">
      <c r="A1692" s="3" t="inlineStr">
        <is>
          <t>何胜洪</t>
        </is>
      </c>
      <c r="B1692" s="3" t="inlineStr">
        <is>
          <t>8/17</t>
        </is>
      </c>
      <c r="C1692" s="3" t="inlineStr">
        <is>
          <t>一</t>
        </is>
      </c>
      <c r="D1692" s="3" t="inlineStr">
        <is>
          <t>07:45 19:00</t>
        </is>
      </c>
      <c r="E1692" s="4" t="n">
        <v>0.3229166666666667</v>
      </c>
      <c r="F1692" s="4" t="n">
        <v>0.7916666666666666</v>
      </c>
      <c r="G1692" s="3">
        <f>IF($E1692="","空卡",IF($F1692="","单卡","正常"))</f>
        <v/>
      </c>
      <c r="H1692" s="5">
        <f>IF($G1692="正常",ROUND(($F1692-$E1692)*1440,0),"")</f>
        <v/>
      </c>
      <c r="I1692" s="6">
        <f>IF($G1692="正常",$H1692/60,"")</f>
        <v/>
      </c>
      <c r="J1692" s="7">
        <f>IF($G1692="正常",ROUND($H1692/30,0)/2,"")</f>
        <v/>
      </c>
      <c r="K1692" s="7">
        <f>IF($G1692="正常",MIN($J1692,12),"")</f>
        <v/>
      </c>
      <c r="L1692" s="7">
        <f>IF($G1692="正常",MAX($J1692-12,0),"")</f>
        <v/>
      </c>
    </row>
    <row r="1693">
      <c r="A1693" s="3" t="inlineStr">
        <is>
          <t>何胜洪</t>
        </is>
      </c>
      <c r="B1693" s="3" t="inlineStr">
        <is>
          <t>8/18</t>
        </is>
      </c>
      <c r="C1693" s="3" t="inlineStr">
        <is>
          <t>二</t>
        </is>
      </c>
      <c r="D1693" s="3" t="inlineStr">
        <is>
          <t>07:43 18:30</t>
        </is>
      </c>
      <c r="E1693" s="4" t="n">
        <v>0.3215277777777778</v>
      </c>
      <c r="F1693" s="4" t="n">
        <v>0.7708333333333334</v>
      </c>
      <c r="G1693" s="3">
        <f>IF($E1693="","空卡",IF($F1693="","单卡","正常"))</f>
        <v/>
      </c>
      <c r="H1693" s="5">
        <f>IF($G1693="正常",ROUND(($F1693-$E1693)*1440,0),"")</f>
        <v/>
      </c>
      <c r="I1693" s="6">
        <f>IF($G1693="正常",$H1693/60,"")</f>
        <v/>
      </c>
      <c r="J1693" s="7">
        <f>IF($G1693="正常",ROUND($H1693/30,0)/2,"")</f>
        <v/>
      </c>
      <c r="K1693" s="7">
        <f>IF($G1693="正常",MIN($J1693,12),"")</f>
        <v/>
      </c>
      <c r="L1693" s="7">
        <f>IF($G1693="正常",MAX($J1693-12,0),"")</f>
        <v/>
      </c>
    </row>
    <row r="1694">
      <c r="A1694" s="3" t="inlineStr">
        <is>
          <t>何胜洪</t>
        </is>
      </c>
      <c r="B1694" s="3" t="inlineStr">
        <is>
          <t>8/19</t>
        </is>
      </c>
      <c r="C1694" s="3" t="inlineStr">
        <is>
          <t>三</t>
        </is>
      </c>
      <c r="D1694" s="3" t="inlineStr">
        <is>
          <t>07:20 19:00</t>
        </is>
      </c>
      <c r="E1694" s="4" t="n">
        <v>0.3055555555555556</v>
      </c>
      <c r="F1694" s="4" t="n">
        <v>0.7916666666666666</v>
      </c>
      <c r="G1694" s="3">
        <f>IF($E1694="","空卡",IF($F1694="","单卡","正常"))</f>
        <v/>
      </c>
      <c r="H1694" s="5">
        <f>IF($G1694="正常",ROUND(($F1694-$E1694)*1440,0),"")</f>
        <v/>
      </c>
      <c r="I1694" s="6">
        <f>IF($G1694="正常",$H1694/60,"")</f>
        <v/>
      </c>
      <c r="J1694" s="7">
        <f>IF($G1694="正常",ROUND($H1694/30,0)/2,"")</f>
        <v/>
      </c>
      <c r="K1694" s="7">
        <f>IF($G1694="正常",MIN($J1694,12),"")</f>
        <v/>
      </c>
      <c r="L1694" s="7">
        <f>IF($G1694="正常",MAX($J1694-12,0),"")</f>
        <v/>
      </c>
    </row>
    <row r="1695">
      <c r="A1695" s="8" t="inlineStr">
        <is>
          <t>何胜洪</t>
        </is>
      </c>
      <c r="B1695" s="8" t="inlineStr">
        <is>
          <t>8/20</t>
        </is>
      </c>
      <c r="C1695" s="8" t="inlineStr">
        <is>
          <t>四</t>
        </is>
      </c>
      <c r="D1695" s="8" t="inlineStr"/>
      <c r="E1695" s="9" t="n"/>
      <c r="F1695" s="9" t="n"/>
      <c r="G1695" s="10">
        <f>IF($E1695="","空卡",IF($F1695="","单卡","正常"))</f>
        <v/>
      </c>
      <c r="H1695" s="11">
        <f>IF($G1695="正常",ROUND(($F1695-$E1695)*1440,0),"")</f>
        <v/>
      </c>
      <c r="I1695" s="12">
        <f>IF($G1695="正常",$H1695/60,"")</f>
        <v/>
      </c>
      <c r="J1695" s="13">
        <f>IF($G1695="正常",ROUND($H1695/30,0)/2,"")</f>
        <v/>
      </c>
      <c r="K1695" s="13">
        <f>IF($G1695="正常",MIN($J1695,12),"")</f>
        <v/>
      </c>
      <c r="L1695" s="13">
        <f>IF($G1695="正常",MAX($J1695-12,0),"")</f>
        <v/>
      </c>
    </row>
    <row r="1696">
      <c r="A1696" s="3" t="inlineStr">
        <is>
          <t>何胜洪</t>
        </is>
      </c>
      <c r="B1696" s="3" t="inlineStr">
        <is>
          <t>8/21</t>
        </is>
      </c>
      <c r="C1696" s="3" t="inlineStr">
        <is>
          <t>五</t>
        </is>
      </c>
      <c r="D1696" s="3" t="inlineStr">
        <is>
          <t>06:57 19:01</t>
        </is>
      </c>
      <c r="E1696" s="4" t="n">
        <v>0.2895833333333334</v>
      </c>
      <c r="F1696" s="4" t="n">
        <v>0.7923611111111111</v>
      </c>
      <c r="G1696" s="3">
        <f>IF($E1696="","空卡",IF($F1696="","单卡","正常"))</f>
        <v/>
      </c>
      <c r="H1696" s="5">
        <f>IF($G1696="正常",ROUND(($F1696-$E1696)*1440,0),"")</f>
        <v/>
      </c>
      <c r="I1696" s="6">
        <f>IF($G1696="正常",$H1696/60,"")</f>
        <v/>
      </c>
      <c r="J1696" s="7">
        <f>IF($G1696="正常",ROUND($H1696/30,0)/2,"")</f>
        <v/>
      </c>
      <c r="K1696" s="7">
        <f>IF($G1696="正常",MIN($J1696,12),"")</f>
        <v/>
      </c>
      <c r="L1696" s="7">
        <f>IF($G1696="正常",MAX($J1696-12,0),"")</f>
        <v/>
      </c>
    </row>
    <row r="1697">
      <c r="A1697" s="3" t="inlineStr">
        <is>
          <t>何胜洪</t>
        </is>
      </c>
      <c r="B1697" s="3" t="inlineStr">
        <is>
          <t>8/22</t>
        </is>
      </c>
      <c r="C1697" s="3" t="inlineStr">
        <is>
          <t>六</t>
        </is>
      </c>
      <c r="D1697" s="3" t="inlineStr">
        <is>
          <t>06:53 18:33</t>
        </is>
      </c>
      <c r="E1697" s="4" t="n">
        <v>0.2868055555555555</v>
      </c>
      <c r="F1697" s="4" t="n">
        <v>0.7729166666666667</v>
      </c>
      <c r="G1697" s="3">
        <f>IF($E1697="","空卡",IF($F1697="","单卡","正常"))</f>
        <v/>
      </c>
      <c r="H1697" s="5">
        <f>IF($G1697="正常",ROUND(($F1697-$E1697)*1440,0),"")</f>
        <v/>
      </c>
      <c r="I1697" s="6">
        <f>IF($G1697="正常",$H1697/60,"")</f>
        <v/>
      </c>
      <c r="J1697" s="7">
        <f>IF($G1697="正常",ROUND($H1697/30,0)/2,"")</f>
        <v/>
      </c>
      <c r="K1697" s="7">
        <f>IF($G1697="正常",MIN($J1697,12),"")</f>
        <v/>
      </c>
      <c r="L1697" s="7">
        <f>IF($G1697="正常",MAX($J1697-12,0),"")</f>
        <v/>
      </c>
    </row>
    <row r="1698">
      <c r="A1698" s="8" t="inlineStr">
        <is>
          <t>何胜洪</t>
        </is>
      </c>
      <c r="B1698" s="8" t="inlineStr">
        <is>
          <t>8/23</t>
        </is>
      </c>
      <c r="C1698" s="8" t="inlineStr">
        <is>
          <t>日</t>
        </is>
      </c>
      <c r="D1698" s="8" t="inlineStr"/>
      <c r="E1698" s="9" t="n"/>
      <c r="F1698" s="9" t="n"/>
      <c r="G1698" s="10">
        <f>IF($E1698="","空卡",IF($F1698="","单卡","正常"))</f>
        <v/>
      </c>
      <c r="H1698" s="11">
        <f>IF($G1698="正常",ROUND(($F1698-$E1698)*1440,0),"")</f>
        <v/>
      </c>
      <c r="I1698" s="12">
        <f>IF($G1698="正常",$H1698/60,"")</f>
        <v/>
      </c>
      <c r="J1698" s="13">
        <f>IF($G1698="正常",ROUND($H1698/30,0)/2,"")</f>
        <v/>
      </c>
      <c r="K1698" s="13">
        <f>IF($G1698="正常",MIN($J1698,12),"")</f>
        <v/>
      </c>
      <c r="L1698" s="13">
        <f>IF($G1698="正常",MAX($J1698-12,0),"")</f>
        <v/>
      </c>
    </row>
    <row r="1699">
      <c r="A1699" s="8" t="inlineStr">
        <is>
          <t>何胜洪</t>
        </is>
      </c>
      <c r="B1699" s="8" t="inlineStr">
        <is>
          <t>8/24</t>
        </is>
      </c>
      <c r="C1699" s="8" t="inlineStr">
        <is>
          <t>一</t>
        </is>
      </c>
      <c r="D1699" s="8" t="inlineStr"/>
      <c r="E1699" s="9" t="n"/>
      <c r="F1699" s="9" t="n"/>
      <c r="G1699" s="10">
        <f>IF($E1699="","空卡",IF($F1699="","单卡","正常"))</f>
        <v/>
      </c>
      <c r="H1699" s="11">
        <f>IF($G1699="正常",ROUND(($F1699-$E1699)*1440,0),"")</f>
        <v/>
      </c>
      <c r="I1699" s="12">
        <f>IF($G1699="正常",$H1699/60,"")</f>
        <v/>
      </c>
      <c r="J1699" s="13">
        <f>IF($G1699="正常",ROUND($H1699/30,0)/2,"")</f>
        <v/>
      </c>
      <c r="K1699" s="13">
        <f>IF($G1699="正常",MIN($J1699,12),"")</f>
        <v/>
      </c>
      <c r="L1699" s="13">
        <f>IF($G1699="正常",MAX($J1699-12,0),"")</f>
        <v/>
      </c>
    </row>
    <row r="1700">
      <c r="A1700" s="8" t="inlineStr">
        <is>
          <t>何胜洪</t>
        </is>
      </c>
      <c r="B1700" s="8" t="inlineStr">
        <is>
          <t>8/25</t>
        </is>
      </c>
      <c r="C1700" s="8" t="inlineStr">
        <is>
          <t>二</t>
        </is>
      </c>
      <c r="D1700" s="8" t="inlineStr"/>
      <c r="E1700" s="9" t="n"/>
      <c r="F1700" s="9" t="n"/>
      <c r="G1700" s="10">
        <f>IF($E1700="","空卡",IF($F1700="","单卡","正常"))</f>
        <v/>
      </c>
      <c r="H1700" s="11">
        <f>IF($G1700="正常",ROUND(($F1700-$E1700)*1440,0),"")</f>
        <v/>
      </c>
      <c r="I1700" s="12">
        <f>IF($G1700="正常",$H1700/60,"")</f>
        <v/>
      </c>
      <c r="J1700" s="13">
        <f>IF($G1700="正常",ROUND($H1700/30,0)/2,"")</f>
        <v/>
      </c>
      <c r="K1700" s="13">
        <f>IF($G1700="正常",MIN($J1700,12),"")</f>
        <v/>
      </c>
      <c r="L1700" s="13">
        <f>IF($G1700="正常",MAX($J1700-12,0),"")</f>
        <v/>
      </c>
    </row>
    <row r="1701">
      <c r="A1701" s="8" t="inlineStr">
        <is>
          <t>何胜洪</t>
        </is>
      </c>
      <c r="B1701" s="8" t="inlineStr">
        <is>
          <t>8/26</t>
        </is>
      </c>
      <c r="C1701" s="8" t="inlineStr">
        <is>
          <t>三</t>
        </is>
      </c>
      <c r="D1701" s="8" t="inlineStr"/>
      <c r="E1701" s="9" t="n"/>
      <c r="F1701" s="9" t="n"/>
      <c r="G1701" s="10">
        <f>IF($E1701="","空卡",IF($F1701="","单卡","正常"))</f>
        <v/>
      </c>
      <c r="H1701" s="11">
        <f>IF($G1701="正常",ROUND(($F1701-$E1701)*1440,0),"")</f>
        <v/>
      </c>
      <c r="I1701" s="12">
        <f>IF($G1701="正常",$H1701/60,"")</f>
        <v/>
      </c>
      <c r="J1701" s="13">
        <f>IF($G1701="正常",ROUND($H1701/30,0)/2,"")</f>
        <v/>
      </c>
      <c r="K1701" s="13">
        <f>IF($G1701="正常",MIN($J1701,12),"")</f>
        <v/>
      </c>
      <c r="L1701" s="13">
        <f>IF($G1701="正常",MAX($J1701-12,0),"")</f>
        <v/>
      </c>
    </row>
    <row r="1702">
      <c r="A1702" s="3" t="inlineStr">
        <is>
          <t>何胜洪</t>
        </is>
      </c>
      <c r="B1702" s="3" t="inlineStr">
        <is>
          <t>8/27</t>
        </is>
      </c>
      <c r="C1702" s="3" t="inlineStr">
        <is>
          <t>四</t>
        </is>
      </c>
      <c r="D1702" s="3" t="inlineStr">
        <is>
          <t>07:50 19:03</t>
        </is>
      </c>
      <c r="E1702" s="4" t="n">
        <v>0.3263888888888889</v>
      </c>
      <c r="F1702" s="4" t="n">
        <v>0.79375</v>
      </c>
      <c r="G1702" s="3">
        <f>IF($E1702="","空卡",IF($F1702="","单卡","正常"))</f>
        <v/>
      </c>
      <c r="H1702" s="5">
        <f>IF($G1702="正常",ROUND(($F1702-$E1702)*1440,0),"")</f>
        <v/>
      </c>
      <c r="I1702" s="6">
        <f>IF($G1702="正常",$H1702/60,"")</f>
        <v/>
      </c>
      <c r="J1702" s="7">
        <f>IF($G1702="正常",ROUND($H1702/30,0)/2,"")</f>
        <v/>
      </c>
      <c r="K1702" s="7">
        <f>IF($G1702="正常",MIN($J1702,12),"")</f>
        <v/>
      </c>
      <c r="L1702" s="7">
        <f>IF($G1702="正常",MAX($J1702-12,0),"")</f>
        <v/>
      </c>
    </row>
    <row r="1703">
      <c r="A1703" s="3" t="inlineStr">
        <is>
          <t>何胜洪</t>
        </is>
      </c>
      <c r="B1703" s="3" t="inlineStr">
        <is>
          <t>8/28</t>
        </is>
      </c>
      <c r="C1703" s="3" t="inlineStr">
        <is>
          <t>五</t>
        </is>
      </c>
      <c r="D1703" s="3" t="inlineStr">
        <is>
          <t>07:51 18:29</t>
        </is>
      </c>
      <c r="E1703" s="4" t="n">
        <v>0.3270833333333333</v>
      </c>
      <c r="F1703" s="4" t="n">
        <v>0.7701388888888889</v>
      </c>
      <c r="G1703" s="3">
        <f>IF($E1703="","空卡",IF($F1703="","单卡","正常"))</f>
        <v/>
      </c>
      <c r="H1703" s="5">
        <f>IF($G1703="正常",ROUND(($F1703-$E1703)*1440,0),"")</f>
        <v/>
      </c>
      <c r="I1703" s="6">
        <f>IF($G1703="正常",$H1703/60,"")</f>
        <v/>
      </c>
      <c r="J1703" s="7">
        <f>IF($G1703="正常",ROUND($H1703/30,0)/2,"")</f>
        <v/>
      </c>
      <c r="K1703" s="7">
        <f>IF($G1703="正常",MIN($J1703,12),"")</f>
        <v/>
      </c>
      <c r="L1703" s="7">
        <f>IF($G1703="正常",MAX($J1703-12,0),"")</f>
        <v/>
      </c>
    </row>
    <row r="1704">
      <c r="A1704" s="8" t="inlineStr">
        <is>
          <t>何胜洪</t>
        </is>
      </c>
      <c r="B1704" s="8" t="inlineStr">
        <is>
          <t>8/29</t>
        </is>
      </c>
      <c r="C1704" s="8" t="inlineStr">
        <is>
          <t>六</t>
        </is>
      </c>
      <c r="D1704" s="8" t="inlineStr"/>
      <c r="E1704" s="9" t="n"/>
      <c r="F1704" s="9" t="n"/>
      <c r="G1704" s="10">
        <f>IF($E1704="","空卡",IF($F1704="","单卡","正常"))</f>
        <v/>
      </c>
      <c r="H1704" s="11">
        <f>IF($G1704="正常",ROUND(($F1704-$E1704)*1440,0),"")</f>
        <v/>
      </c>
      <c r="I1704" s="12">
        <f>IF($G1704="正常",$H1704/60,"")</f>
        <v/>
      </c>
      <c r="J1704" s="13">
        <f>IF($G1704="正常",ROUND($H1704/30,0)/2,"")</f>
        <v/>
      </c>
      <c r="K1704" s="13">
        <f>IF($G1704="正常",MIN($J1704,12),"")</f>
        <v/>
      </c>
      <c r="L1704" s="13">
        <f>IF($G1704="正常",MAX($J1704-12,0),"")</f>
        <v/>
      </c>
    </row>
    <row r="1705">
      <c r="A1705" s="3" t="inlineStr">
        <is>
          <t>何胜洪</t>
        </is>
      </c>
      <c r="B1705" s="3" t="inlineStr">
        <is>
          <t>8/30</t>
        </is>
      </c>
      <c r="C1705" s="3" t="inlineStr">
        <is>
          <t>日</t>
        </is>
      </c>
      <c r="D1705" s="3" t="inlineStr">
        <is>
          <t>07:53 18:40</t>
        </is>
      </c>
      <c r="E1705" s="4" t="n">
        <v>0.3284722222222222</v>
      </c>
      <c r="F1705" s="4" t="n">
        <v>0.7777777777777778</v>
      </c>
      <c r="G1705" s="3">
        <f>IF($E1705="","空卡",IF($F1705="","单卡","正常"))</f>
        <v/>
      </c>
      <c r="H1705" s="5">
        <f>IF($G1705="正常",ROUND(($F1705-$E1705)*1440,0),"")</f>
        <v/>
      </c>
      <c r="I1705" s="6">
        <f>IF($G1705="正常",$H1705/60,"")</f>
        <v/>
      </c>
      <c r="J1705" s="7">
        <f>IF($G1705="正常",ROUND($H1705/30,0)/2,"")</f>
        <v/>
      </c>
      <c r="K1705" s="7">
        <f>IF($G1705="正常",MIN($J1705,12),"")</f>
        <v/>
      </c>
      <c r="L1705" s="7">
        <f>IF($G1705="正常",MAX($J1705-12,0),"")</f>
        <v/>
      </c>
    </row>
    <row r="1706">
      <c r="A1706" s="8" t="inlineStr">
        <is>
          <t>何胜洪</t>
        </is>
      </c>
      <c r="B1706" s="8" t="inlineStr">
        <is>
          <t>8/31</t>
        </is>
      </c>
      <c r="C1706" s="8" t="inlineStr">
        <is>
          <t>一</t>
        </is>
      </c>
      <c r="D1706" s="8" t="inlineStr"/>
      <c r="E1706" s="9" t="n"/>
      <c r="F1706" s="9" t="n"/>
      <c r="G1706" s="10">
        <f>IF($E1706="","空卡",IF($F1706="","单卡","正常"))</f>
        <v/>
      </c>
      <c r="H1706" s="11">
        <f>IF($G1706="正常",ROUND(($F1706-$E1706)*1440,0),"")</f>
        <v/>
      </c>
      <c r="I1706" s="12">
        <f>IF($G1706="正常",$H1706/60,"")</f>
        <v/>
      </c>
      <c r="J1706" s="13">
        <f>IF($G1706="正常",ROUND($H1706/30,0)/2,"")</f>
        <v/>
      </c>
      <c r="K1706" s="13">
        <f>IF($G1706="正常",MIN($J1706,12),"")</f>
        <v/>
      </c>
      <c r="L1706" s="13">
        <f>IF($G1706="正常",MAX($J1706-12,0),"")</f>
        <v/>
      </c>
    </row>
    <row r="1707">
      <c r="A1707" s="8" t="inlineStr">
        <is>
          <t>张天福</t>
        </is>
      </c>
      <c r="B1707" s="8" t="inlineStr">
        <is>
          <t>8/1</t>
        </is>
      </c>
      <c r="C1707" s="8" t="inlineStr">
        <is>
          <t>六</t>
        </is>
      </c>
      <c r="D1707" s="8" t="inlineStr"/>
      <c r="E1707" s="9" t="n"/>
      <c r="F1707" s="9" t="n"/>
      <c r="G1707" s="10">
        <f>IF($E1707="","空卡",IF($F1707="","单卡","正常"))</f>
        <v/>
      </c>
      <c r="H1707" s="11">
        <f>IF($G1707="正常",ROUND(($F1707-$E1707)*1440,0),"")</f>
        <v/>
      </c>
      <c r="I1707" s="12">
        <f>IF($G1707="正常",$H1707/60,"")</f>
        <v/>
      </c>
      <c r="J1707" s="13">
        <f>IF($G1707="正常",ROUND($H1707/30,0)/2,"")</f>
        <v/>
      </c>
      <c r="K1707" s="13">
        <f>IF($G1707="正常",MIN($J1707,12),"")</f>
        <v/>
      </c>
      <c r="L1707" s="13">
        <f>IF($G1707="正常",MAX($J1707-12,0),"")</f>
        <v/>
      </c>
    </row>
    <row r="1708">
      <c r="A1708" s="8" t="inlineStr">
        <is>
          <t>张天福</t>
        </is>
      </c>
      <c r="B1708" s="8" t="inlineStr">
        <is>
          <t>8/2</t>
        </is>
      </c>
      <c r="C1708" s="8" t="inlineStr">
        <is>
          <t>日</t>
        </is>
      </c>
      <c r="D1708" s="8" t="inlineStr"/>
      <c r="E1708" s="9" t="n"/>
      <c r="F1708" s="9" t="n"/>
      <c r="G1708" s="10">
        <f>IF($E1708="","空卡",IF($F1708="","单卡","正常"))</f>
        <v/>
      </c>
      <c r="H1708" s="11">
        <f>IF($G1708="正常",ROUND(($F1708-$E1708)*1440,0),"")</f>
        <v/>
      </c>
      <c r="I1708" s="12">
        <f>IF($G1708="正常",$H1708/60,"")</f>
        <v/>
      </c>
      <c r="J1708" s="13">
        <f>IF($G1708="正常",ROUND($H1708/30,0)/2,"")</f>
        <v/>
      </c>
      <c r="K1708" s="13">
        <f>IF($G1708="正常",MIN($J1708,12),"")</f>
        <v/>
      </c>
      <c r="L1708" s="13">
        <f>IF($G1708="正常",MAX($J1708-12,0),"")</f>
        <v/>
      </c>
    </row>
    <row r="1709">
      <c r="A1709" s="8" t="inlineStr">
        <is>
          <t>张天福</t>
        </is>
      </c>
      <c r="B1709" s="8" t="inlineStr">
        <is>
          <t>8/3</t>
        </is>
      </c>
      <c r="C1709" s="8" t="inlineStr">
        <is>
          <t>一</t>
        </is>
      </c>
      <c r="D1709" s="8" t="inlineStr"/>
      <c r="E1709" s="9" t="n"/>
      <c r="F1709" s="9" t="n"/>
      <c r="G1709" s="10">
        <f>IF($E1709="","空卡",IF($F1709="","单卡","正常"))</f>
        <v/>
      </c>
      <c r="H1709" s="11">
        <f>IF($G1709="正常",ROUND(($F1709-$E1709)*1440,0),"")</f>
        <v/>
      </c>
      <c r="I1709" s="12">
        <f>IF($G1709="正常",$H1709/60,"")</f>
        <v/>
      </c>
      <c r="J1709" s="13">
        <f>IF($G1709="正常",ROUND($H1709/30,0)/2,"")</f>
        <v/>
      </c>
      <c r="K1709" s="13">
        <f>IF($G1709="正常",MIN($J1709,12),"")</f>
        <v/>
      </c>
      <c r="L1709" s="13">
        <f>IF($G1709="正常",MAX($J1709-12,0),"")</f>
        <v/>
      </c>
    </row>
    <row r="1710">
      <c r="A1710" s="8" t="inlineStr">
        <is>
          <t>张天福</t>
        </is>
      </c>
      <c r="B1710" s="8" t="inlineStr">
        <is>
          <t>8/4</t>
        </is>
      </c>
      <c r="C1710" s="8" t="inlineStr">
        <is>
          <t>二</t>
        </is>
      </c>
      <c r="D1710" s="8" t="inlineStr"/>
      <c r="E1710" s="9" t="n"/>
      <c r="F1710" s="9" t="n"/>
      <c r="G1710" s="10">
        <f>IF($E1710="","空卡",IF($F1710="","单卡","正常"))</f>
        <v/>
      </c>
      <c r="H1710" s="11">
        <f>IF($G1710="正常",ROUND(($F1710-$E1710)*1440,0),"")</f>
        <v/>
      </c>
      <c r="I1710" s="12">
        <f>IF($G1710="正常",$H1710/60,"")</f>
        <v/>
      </c>
      <c r="J1710" s="13">
        <f>IF($G1710="正常",ROUND($H1710/30,0)/2,"")</f>
        <v/>
      </c>
      <c r="K1710" s="13">
        <f>IF($G1710="正常",MIN($J1710,12),"")</f>
        <v/>
      </c>
      <c r="L1710" s="13">
        <f>IF($G1710="正常",MAX($J1710-12,0),"")</f>
        <v/>
      </c>
    </row>
    <row r="1711">
      <c r="A1711" s="8" t="inlineStr">
        <is>
          <t>张天福</t>
        </is>
      </c>
      <c r="B1711" s="8" t="inlineStr">
        <is>
          <t>8/5</t>
        </is>
      </c>
      <c r="C1711" s="8" t="inlineStr">
        <is>
          <t>三</t>
        </is>
      </c>
      <c r="D1711" s="8" t="inlineStr"/>
      <c r="E1711" s="9" t="n"/>
      <c r="F1711" s="9" t="n"/>
      <c r="G1711" s="10">
        <f>IF($E1711="","空卡",IF($F1711="","单卡","正常"))</f>
        <v/>
      </c>
      <c r="H1711" s="11">
        <f>IF($G1711="正常",ROUND(($F1711-$E1711)*1440,0),"")</f>
        <v/>
      </c>
      <c r="I1711" s="12">
        <f>IF($G1711="正常",$H1711/60,"")</f>
        <v/>
      </c>
      <c r="J1711" s="13">
        <f>IF($G1711="正常",ROUND($H1711/30,0)/2,"")</f>
        <v/>
      </c>
      <c r="K1711" s="13">
        <f>IF($G1711="正常",MIN($J1711,12),"")</f>
        <v/>
      </c>
      <c r="L1711" s="13">
        <f>IF($G1711="正常",MAX($J1711-12,0),"")</f>
        <v/>
      </c>
    </row>
    <row r="1712">
      <c r="A1712" s="8" t="inlineStr">
        <is>
          <t>张天福</t>
        </is>
      </c>
      <c r="B1712" s="8" t="inlineStr">
        <is>
          <t>8/6</t>
        </is>
      </c>
      <c r="C1712" s="8" t="inlineStr">
        <is>
          <t>四</t>
        </is>
      </c>
      <c r="D1712" s="8" t="inlineStr"/>
      <c r="E1712" s="9" t="n"/>
      <c r="F1712" s="9" t="n"/>
      <c r="G1712" s="10">
        <f>IF($E1712="","空卡",IF($F1712="","单卡","正常"))</f>
        <v/>
      </c>
      <c r="H1712" s="11">
        <f>IF($G1712="正常",ROUND(($F1712-$E1712)*1440,0),"")</f>
        <v/>
      </c>
      <c r="I1712" s="12">
        <f>IF($G1712="正常",$H1712/60,"")</f>
        <v/>
      </c>
      <c r="J1712" s="13">
        <f>IF($G1712="正常",ROUND($H1712/30,0)/2,"")</f>
        <v/>
      </c>
      <c r="K1712" s="13">
        <f>IF($G1712="正常",MIN($J1712,12),"")</f>
        <v/>
      </c>
      <c r="L1712" s="13">
        <f>IF($G1712="正常",MAX($J1712-12,0),"")</f>
        <v/>
      </c>
    </row>
    <row r="1713">
      <c r="A1713" s="8" t="inlineStr">
        <is>
          <t>张天福</t>
        </is>
      </c>
      <c r="B1713" s="8" t="inlineStr">
        <is>
          <t>8/7</t>
        </is>
      </c>
      <c r="C1713" s="8" t="inlineStr">
        <is>
          <t>五</t>
        </is>
      </c>
      <c r="D1713" s="8" t="inlineStr"/>
      <c r="E1713" s="9" t="n"/>
      <c r="F1713" s="9" t="n"/>
      <c r="G1713" s="10">
        <f>IF($E1713="","空卡",IF($F1713="","单卡","正常"))</f>
        <v/>
      </c>
      <c r="H1713" s="11">
        <f>IF($G1713="正常",ROUND(($F1713-$E1713)*1440,0),"")</f>
        <v/>
      </c>
      <c r="I1713" s="12">
        <f>IF($G1713="正常",$H1713/60,"")</f>
        <v/>
      </c>
      <c r="J1713" s="13">
        <f>IF($G1713="正常",ROUND($H1713/30,0)/2,"")</f>
        <v/>
      </c>
      <c r="K1713" s="13">
        <f>IF($G1713="正常",MIN($J1713,12),"")</f>
        <v/>
      </c>
      <c r="L1713" s="13">
        <f>IF($G1713="正常",MAX($J1713-12,0),"")</f>
        <v/>
      </c>
    </row>
    <row r="1714">
      <c r="A1714" s="8" t="inlineStr">
        <is>
          <t>张天福</t>
        </is>
      </c>
      <c r="B1714" s="8" t="inlineStr">
        <is>
          <t>8/8</t>
        </is>
      </c>
      <c r="C1714" s="8" t="inlineStr">
        <is>
          <t>六</t>
        </is>
      </c>
      <c r="D1714" s="8" t="inlineStr"/>
      <c r="E1714" s="9" t="n"/>
      <c r="F1714" s="9" t="n"/>
      <c r="G1714" s="10">
        <f>IF($E1714="","空卡",IF($F1714="","单卡","正常"))</f>
        <v/>
      </c>
      <c r="H1714" s="11">
        <f>IF($G1714="正常",ROUND(($F1714-$E1714)*1440,0),"")</f>
        <v/>
      </c>
      <c r="I1714" s="12">
        <f>IF($G1714="正常",$H1714/60,"")</f>
        <v/>
      </c>
      <c r="J1714" s="13">
        <f>IF($G1714="正常",ROUND($H1714/30,0)/2,"")</f>
        <v/>
      </c>
      <c r="K1714" s="13">
        <f>IF($G1714="正常",MIN($J1714,12),"")</f>
        <v/>
      </c>
      <c r="L1714" s="13">
        <f>IF($G1714="正常",MAX($J1714-12,0),"")</f>
        <v/>
      </c>
    </row>
    <row r="1715">
      <c r="A1715" s="8" t="inlineStr">
        <is>
          <t>张天福</t>
        </is>
      </c>
      <c r="B1715" s="8" t="inlineStr">
        <is>
          <t>8/9</t>
        </is>
      </c>
      <c r="C1715" s="8" t="inlineStr">
        <is>
          <t>日</t>
        </is>
      </c>
      <c r="D1715" s="8" t="inlineStr"/>
      <c r="E1715" s="9" t="n"/>
      <c r="F1715" s="9" t="n"/>
      <c r="G1715" s="10">
        <f>IF($E1715="","空卡",IF($F1715="","单卡","正常"))</f>
        <v/>
      </c>
      <c r="H1715" s="11">
        <f>IF($G1715="正常",ROUND(($F1715-$E1715)*1440,0),"")</f>
        <v/>
      </c>
      <c r="I1715" s="12">
        <f>IF($G1715="正常",$H1715/60,"")</f>
        <v/>
      </c>
      <c r="J1715" s="13">
        <f>IF($G1715="正常",ROUND($H1715/30,0)/2,"")</f>
        <v/>
      </c>
      <c r="K1715" s="13">
        <f>IF($G1715="正常",MIN($J1715,12),"")</f>
        <v/>
      </c>
      <c r="L1715" s="13">
        <f>IF($G1715="正常",MAX($J1715-12,0),"")</f>
        <v/>
      </c>
    </row>
    <row r="1716">
      <c r="A1716" s="8" t="inlineStr">
        <is>
          <t>张天福</t>
        </is>
      </c>
      <c r="B1716" s="8" t="inlineStr">
        <is>
          <t>8/10</t>
        </is>
      </c>
      <c r="C1716" s="8" t="inlineStr">
        <is>
          <t>一</t>
        </is>
      </c>
      <c r="D1716" s="8" t="inlineStr"/>
      <c r="E1716" s="9" t="n"/>
      <c r="F1716" s="9" t="n"/>
      <c r="G1716" s="10">
        <f>IF($E1716="","空卡",IF($F1716="","单卡","正常"))</f>
        <v/>
      </c>
      <c r="H1716" s="11">
        <f>IF($G1716="正常",ROUND(($F1716-$E1716)*1440,0),"")</f>
        <v/>
      </c>
      <c r="I1716" s="12">
        <f>IF($G1716="正常",$H1716/60,"")</f>
        <v/>
      </c>
      <c r="J1716" s="13">
        <f>IF($G1716="正常",ROUND($H1716/30,0)/2,"")</f>
        <v/>
      </c>
      <c r="K1716" s="13">
        <f>IF($G1716="正常",MIN($J1716,12),"")</f>
        <v/>
      </c>
      <c r="L1716" s="13">
        <f>IF($G1716="正常",MAX($J1716-12,0),"")</f>
        <v/>
      </c>
    </row>
    <row r="1717">
      <c r="A1717" s="8" t="inlineStr">
        <is>
          <t>张天福</t>
        </is>
      </c>
      <c r="B1717" s="8" t="inlineStr">
        <is>
          <t>8/11</t>
        </is>
      </c>
      <c r="C1717" s="8" t="inlineStr">
        <is>
          <t>二</t>
        </is>
      </c>
      <c r="D1717" s="8" t="inlineStr"/>
      <c r="E1717" s="9" t="n"/>
      <c r="F1717" s="9" t="n"/>
      <c r="G1717" s="10">
        <f>IF($E1717="","空卡",IF($F1717="","单卡","正常"))</f>
        <v/>
      </c>
      <c r="H1717" s="11">
        <f>IF($G1717="正常",ROUND(($F1717-$E1717)*1440,0),"")</f>
        <v/>
      </c>
      <c r="I1717" s="12">
        <f>IF($G1717="正常",$H1717/60,"")</f>
        <v/>
      </c>
      <c r="J1717" s="13">
        <f>IF($G1717="正常",ROUND($H1717/30,0)/2,"")</f>
        <v/>
      </c>
      <c r="K1717" s="13">
        <f>IF($G1717="正常",MIN($J1717,12),"")</f>
        <v/>
      </c>
      <c r="L1717" s="13">
        <f>IF($G1717="正常",MAX($J1717-12,0),"")</f>
        <v/>
      </c>
    </row>
    <row r="1718">
      <c r="A1718" s="8" t="inlineStr">
        <is>
          <t>张天福</t>
        </is>
      </c>
      <c r="B1718" s="8" t="inlineStr">
        <is>
          <t>8/12</t>
        </is>
      </c>
      <c r="C1718" s="8" t="inlineStr">
        <is>
          <t>三</t>
        </is>
      </c>
      <c r="D1718" s="8" t="inlineStr"/>
      <c r="E1718" s="9" t="n"/>
      <c r="F1718" s="9" t="n"/>
      <c r="G1718" s="10">
        <f>IF($E1718="","空卡",IF($F1718="","单卡","正常"))</f>
        <v/>
      </c>
      <c r="H1718" s="11">
        <f>IF($G1718="正常",ROUND(($F1718-$E1718)*1440,0),"")</f>
        <v/>
      </c>
      <c r="I1718" s="12">
        <f>IF($G1718="正常",$H1718/60,"")</f>
        <v/>
      </c>
      <c r="J1718" s="13">
        <f>IF($G1718="正常",ROUND($H1718/30,0)/2,"")</f>
        <v/>
      </c>
      <c r="K1718" s="13">
        <f>IF($G1718="正常",MIN($J1718,12),"")</f>
        <v/>
      </c>
      <c r="L1718" s="13">
        <f>IF($G1718="正常",MAX($J1718-12,0),"")</f>
        <v/>
      </c>
    </row>
    <row r="1719">
      <c r="A1719" s="8" t="inlineStr">
        <is>
          <t>张天福</t>
        </is>
      </c>
      <c r="B1719" s="8" t="inlineStr">
        <is>
          <t>8/13</t>
        </is>
      </c>
      <c r="C1719" s="8" t="inlineStr">
        <is>
          <t>四</t>
        </is>
      </c>
      <c r="D1719" s="8" t="inlineStr"/>
      <c r="E1719" s="9" t="n"/>
      <c r="F1719" s="9" t="n"/>
      <c r="G1719" s="10">
        <f>IF($E1719="","空卡",IF($F1719="","单卡","正常"))</f>
        <v/>
      </c>
      <c r="H1719" s="11">
        <f>IF($G1719="正常",ROUND(($F1719-$E1719)*1440,0),"")</f>
        <v/>
      </c>
      <c r="I1719" s="12">
        <f>IF($G1719="正常",$H1719/60,"")</f>
        <v/>
      </c>
      <c r="J1719" s="13">
        <f>IF($G1719="正常",ROUND($H1719/30,0)/2,"")</f>
        <v/>
      </c>
      <c r="K1719" s="13">
        <f>IF($G1719="正常",MIN($J1719,12),"")</f>
        <v/>
      </c>
      <c r="L1719" s="13">
        <f>IF($G1719="正常",MAX($J1719-12,0),"")</f>
        <v/>
      </c>
    </row>
    <row r="1720">
      <c r="A1720" s="8" t="inlineStr">
        <is>
          <t>张天福</t>
        </is>
      </c>
      <c r="B1720" s="8" t="inlineStr">
        <is>
          <t>8/14</t>
        </is>
      </c>
      <c r="C1720" s="8" t="inlineStr">
        <is>
          <t>五</t>
        </is>
      </c>
      <c r="D1720" s="8" t="inlineStr"/>
      <c r="E1720" s="9" t="n"/>
      <c r="F1720" s="9" t="n"/>
      <c r="G1720" s="10">
        <f>IF($E1720="","空卡",IF($F1720="","单卡","正常"))</f>
        <v/>
      </c>
      <c r="H1720" s="11">
        <f>IF($G1720="正常",ROUND(($F1720-$E1720)*1440,0),"")</f>
        <v/>
      </c>
      <c r="I1720" s="12">
        <f>IF($G1720="正常",$H1720/60,"")</f>
        <v/>
      </c>
      <c r="J1720" s="13">
        <f>IF($G1720="正常",ROUND($H1720/30,0)/2,"")</f>
        <v/>
      </c>
      <c r="K1720" s="13">
        <f>IF($G1720="正常",MIN($J1720,12),"")</f>
        <v/>
      </c>
      <c r="L1720" s="13">
        <f>IF($G1720="正常",MAX($J1720-12,0),"")</f>
        <v/>
      </c>
    </row>
    <row r="1721">
      <c r="A1721" s="8" t="inlineStr">
        <is>
          <t>张天福</t>
        </is>
      </c>
      <c r="B1721" s="8" t="inlineStr">
        <is>
          <t>8/15</t>
        </is>
      </c>
      <c r="C1721" s="8" t="inlineStr">
        <is>
          <t>六</t>
        </is>
      </c>
      <c r="D1721" s="8" t="inlineStr"/>
      <c r="E1721" s="9" t="n"/>
      <c r="F1721" s="9" t="n"/>
      <c r="G1721" s="10">
        <f>IF($E1721="","空卡",IF($F1721="","单卡","正常"))</f>
        <v/>
      </c>
      <c r="H1721" s="11">
        <f>IF($G1721="正常",ROUND(($F1721-$E1721)*1440,0),"")</f>
        <v/>
      </c>
      <c r="I1721" s="12">
        <f>IF($G1721="正常",$H1721/60,"")</f>
        <v/>
      </c>
      <c r="J1721" s="13">
        <f>IF($G1721="正常",ROUND($H1721/30,0)/2,"")</f>
        <v/>
      </c>
      <c r="K1721" s="13">
        <f>IF($G1721="正常",MIN($J1721,12),"")</f>
        <v/>
      </c>
      <c r="L1721" s="13">
        <f>IF($G1721="正常",MAX($J1721-12,0),"")</f>
        <v/>
      </c>
    </row>
    <row r="1722">
      <c r="A1722" s="8" t="inlineStr">
        <is>
          <t>张天福</t>
        </is>
      </c>
      <c r="B1722" s="8" t="inlineStr">
        <is>
          <t>8/16</t>
        </is>
      </c>
      <c r="C1722" s="8" t="inlineStr">
        <is>
          <t>日</t>
        </is>
      </c>
      <c r="D1722" s="8" t="inlineStr"/>
      <c r="E1722" s="9" t="n"/>
      <c r="F1722" s="9" t="n"/>
      <c r="G1722" s="10">
        <f>IF($E1722="","空卡",IF($F1722="","单卡","正常"))</f>
        <v/>
      </c>
      <c r="H1722" s="11">
        <f>IF($G1722="正常",ROUND(($F1722-$E1722)*1440,0),"")</f>
        <v/>
      </c>
      <c r="I1722" s="12">
        <f>IF($G1722="正常",$H1722/60,"")</f>
        <v/>
      </c>
      <c r="J1722" s="13">
        <f>IF($G1722="正常",ROUND($H1722/30,0)/2,"")</f>
        <v/>
      </c>
      <c r="K1722" s="13">
        <f>IF($G1722="正常",MIN($J1722,12),"")</f>
        <v/>
      </c>
      <c r="L1722" s="13">
        <f>IF($G1722="正常",MAX($J1722-12,0),"")</f>
        <v/>
      </c>
    </row>
    <row r="1723">
      <c r="A1723" s="8" t="inlineStr">
        <is>
          <t>张天福</t>
        </is>
      </c>
      <c r="B1723" s="8" t="inlineStr">
        <is>
          <t>8/17</t>
        </is>
      </c>
      <c r="C1723" s="8" t="inlineStr">
        <is>
          <t>一</t>
        </is>
      </c>
      <c r="D1723" s="8" t="inlineStr"/>
      <c r="E1723" s="9" t="n"/>
      <c r="F1723" s="9" t="n"/>
      <c r="G1723" s="10">
        <f>IF($E1723="","空卡",IF($F1723="","单卡","正常"))</f>
        <v/>
      </c>
      <c r="H1723" s="11">
        <f>IF($G1723="正常",ROUND(($F1723-$E1723)*1440,0),"")</f>
        <v/>
      </c>
      <c r="I1723" s="12">
        <f>IF($G1723="正常",$H1723/60,"")</f>
        <v/>
      </c>
      <c r="J1723" s="13">
        <f>IF($G1723="正常",ROUND($H1723/30,0)/2,"")</f>
        <v/>
      </c>
      <c r="K1723" s="13">
        <f>IF($G1723="正常",MIN($J1723,12),"")</f>
        <v/>
      </c>
      <c r="L1723" s="13">
        <f>IF($G1723="正常",MAX($J1723-12,0),"")</f>
        <v/>
      </c>
    </row>
    <row r="1724">
      <c r="A1724" s="8" t="inlineStr">
        <is>
          <t>张天福</t>
        </is>
      </c>
      <c r="B1724" s="8" t="inlineStr">
        <is>
          <t>8/18</t>
        </is>
      </c>
      <c r="C1724" s="8" t="inlineStr">
        <is>
          <t>二</t>
        </is>
      </c>
      <c r="D1724" s="8" t="inlineStr"/>
      <c r="E1724" s="9" t="n"/>
      <c r="F1724" s="9" t="n"/>
      <c r="G1724" s="10">
        <f>IF($E1724="","空卡",IF($F1724="","单卡","正常"))</f>
        <v/>
      </c>
      <c r="H1724" s="11">
        <f>IF($G1724="正常",ROUND(($F1724-$E1724)*1440,0),"")</f>
        <v/>
      </c>
      <c r="I1724" s="12">
        <f>IF($G1724="正常",$H1724/60,"")</f>
        <v/>
      </c>
      <c r="J1724" s="13">
        <f>IF($G1724="正常",ROUND($H1724/30,0)/2,"")</f>
        <v/>
      </c>
      <c r="K1724" s="13">
        <f>IF($G1724="正常",MIN($J1724,12),"")</f>
        <v/>
      </c>
      <c r="L1724" s="13">
        <f>IF($G1724="正常",MAX($J1724-12,0),"")</f>
        <v/>
      </c>
    </row>
    <row r="1725">
      <c r="A1725" s="8" t="inlineStr">
        <is>
          <t>张天福</t>
        </is>
      </c>
      <c r="B1725" s="8" t="inlineStr">
        <is>
          <t>8/19</t>
        </is>
      </c>
      <c r="C1725" s="8" t="inlineStr">
        <is>
          <t>三</t>
        </is>
      </c>
      <c r="D1725" s="8" t="inlineStr"/>
      <c r="E1725" s="9" t="n"/>
      <c r="F1725" s="9" t="n"/>
      <c r="G1725" s="10">
        <f>IF($E1725="","空卡",IF($F1725="","单卡","正常"))</f>
        <v/>
      </c>
      <c r="H1725" s="11">
        <f>IF($G1725="正常",ROUND(($F1725-$E1725)*1440,0),"")</f>
        <v/>
      </c>
      <c r="I1725" s="12">
        <f>IF($G1725="正常",$H1725/60,"")</f>
        <v/>
      </c>
      <c r="J1725" s="13">
        <f>IF($G1725="正常",ROUND($H1725/30,0)/2,"")</f>
        <v/>
      </c>
      <c r="K1725" s="13">
        <f>IF($G1725="正常",MIN($J1725,12),"")</f>
        <v/>
      </c>
      <c r="L1725" s="13">
        <f>IF($G1725="正常",MAX($J1725-12,0),"")</f>
        <v/>
      </c>
    </row>
    <row r="1726">
      <c r="A1726" s="8" t="inlineStr">
        <is>
          <t>张天福</t>
        </is>
      </c>
      <c r="B1726" s="8" t="inlineStr">
        <is>
          <t>8/20</t>
        </is>
      </c>
      <c r="C1726" s="8" t="inlineStr">
        <is>
          <t>四</t>
        </is>
      </c>
      <c r="D1726" s="8" t="inlineStr"/>
      <c r="E1726" s="9" t="n"/>
      <c r="F1726" s="9" t="n"/>
      <c r="G1726" s="10">
        <f>IF($E1726="","空卡",IF($F1726="","单卡","正常"))</f>
        <v/>
      </c>
      <c r="H1726" s="11">
        <f>IF($G1726="正常",ROUND(($F1726-$E1726)*1440,0),"")</f>
        <v/>
      </c>
      <c r="I1726" s="12">
        <f>IF($G1726="正常",$H1726/60,"")</f>
        <v/>
      </c>
      <c r="J1726" s="13">
        <f>IF($G1726="正常",ROUND($H1726/30,0)/2,"")</f>
        <v/>
      </c>
      <c r="K1726" s="13">
        <f>IF($G1726="正常",MIN($J1726,12),"")</f>
        <v/>
      </c>
      <c r="L1726" s="13">
        <f>IF($G1726="正常",MAX($J1726-12,0),"")</f>
        <v/>
      </c>
    </row>
    <row r="1727">
      <c r="A1727" s="8" t="inlineStr">
        <is>
          <t>张天福</t>
        </is>
      </c>
      <c r="B1727" s="8" t="inlineStr">
        <is>
          <t>8/21</t>
        </is>
      </c>
      <c r="C1727" s="8" t="inlineStr">
        <is>
          <t>五</t>
        </is>
      </c>
      <c r="D1727" s="8" t="inlineStr"/>
      <c r="E1727" s="9" t="n"/>
      <c r="F1727" s="9" t="n"/>
      <c r="G1727" s="10">
        <f>IF($E1727="","空卡",IF($F1727="","单卡","正常"))</f>
        <v/>
      </c>
      <c r="H1727" s="11">
        <f>IF($G1727="正常",ROUND(($F1727-$E1727)*1440,0),"")</f>
        <v/>
      </c>
      <c r="I1727" s="12">
        <f>IF($G1727="正常",$H1727/60,"")</f>
        <v/>
      </c>
      <c r="J1727" s="13">
        <f>IF($G1727="正常",ROUND($H1727/30,0)/2,"")</f>
        <v/>
      </c>
      <c r="K1727" s="13">
        <f>IF($G1727="正常",MIN($J1727,12),"")</f>
        <v/>
      </c>
      <c r="L1727" s="13">
        <f>IF($G1727="正常",MAX($J1727-12,0),"")</f>
        <v/>
      </c>
    </row>
    <row r="1728">
      <c r="A1728" s="8" t="inlineStr">
        <is>
          <t>张天福</t>
        </is>
      </c>
      <c r="B1728" s="8" t="inlineStr">
        <is>
          <t>8/22</t>
        </is>
      </c>
      <c r="C1728" s="8" t="inlineStr">
        <is>
          <t>六</t>
        </is>
      </c>
      <c r="D1728" s="8" t="inlineStr"/>
      <c r="E1728" s="9" t="n"/>
      <c r="F1728" s="9" t="n"/>
      <c r="G1728" s="10">
        <f>IF($E1728="","空卡",IF($F1728="","单卡","正常"))</f>
        <v/>
      </c>
      <c r="H1728" s="11">
        <f>IF($G1728="正常",ROUND(($F1728-$E1728)*1440,0),"")</f>
        <v/>
      </c>
      <c r="I1728" s="12">
        <f>IF($G1728="正常",$H1728/60,"")</f>
        <v/>
      </c>
      <c r="J1728" s="13">
        <f>IF($G1728="正常",ROUND($H1728/30,0)/2,"")</f>
        <v/>
      </c>
      <c r="K1728" s="13">
        <f>IF($G1728="正常",MIN($J1728,12),"")</f>
        <v/>
      </c>
      <c r="L1728" s="13">
        <f>IF($G1728="正常",MAX($J1728-12,0),"")</f>
        <v/>
      </c>
    </row>
    <row r="1729">
      <c r="A1729" s="8" t="inlineStr">
        <is>
          <t>张天福</t>
        </is>
      </c>
      <c r="B1729" s="8" t="inlineStr">
        <is>
          <t>8/23</t>
        </is>
      </c>
      <c r="C1729" s="8" t="inlineStr">
        <is>
          <t>日</t>
        </is>
      </c>
      <c r="D1729" s="8" t="inlineStr"/>
      <c r="E1729" s="9" t="n"/>
      <c r="F1729" s="9" t="n"/>
      <c r="G1729" s="10">
        <f>IF($E1729="","空卡",IF($F1729="","单卡","正常"))</f>
        <v/>
      </c>
      <c r="H1729" s="11">
        <f>IF($G1729="正常",ROUND(($F1729-$E1729)*1440,0),"")</f>
        <v/>
      </c>
      <c r="I1729" s="12">
        <f>IF($G1729="正常",$H1729/60,"")</f>
        <v/>
      </c>
      <c r="J1729" s="13">
        <f>IF($G1729="正常",ROUND($H1729/30,0)/2,"")</f>
        <v/>
      </c>
      <c r="K1729" s="13">
        <f>IF($G1729="正常",MIN($J1729,12),"")</f>
        <v/>
      </c>
      <c r="L1729" s="13">
        <f>IF($G1729="正常",MAX($J1729-12,0),"")</f>
        <v/>
      </c>
    </row>
    <row r="1730">
      <c r="A1730" s="8" t="inlineStr">
        <is>
          <t>张天福</t>
        </is>
      </c>
      <c r="B1730" s="8" t="inlineStr">
        <is>
          <t>8/24</t>
        </is>
      </c>
      <c r="C1730" s="8" t="inlineStr">
        <is>
          <t>一</t>
        </is>
      </c>
      <c r="D1730" s="8" t="inlineStr"/>
      <c r="E1730" s="9" t="n"/>
      <c r="F1730" s="9" t="n"/>
      <c r="G1730" s="10">
        <f>IF($E1730="","空卡",IF($F1730="","单卡","正常"))</f>
        <v/>
      </c>
      <c r="H1730" s="11">
        <f>IF($G1730="正常",ROUND(($F1730-$E1730)*1440,0),"")</f>
        <v/>
      </c>
      <c r="I1730" s="12">
        <f>IF($G1730="正常",$H1730/60,"")</f>
        <v/>
      </c>
      <c r="J1730" s="13">
        <f>IF($G1730="正常",ROUND($H1730/30,0)/2,"")</f>
        <v/>
      </c>
      <c r="K1730" s="13">
        <f>IF($G1730="正常",MIN($J1730,12),"")</f>
        <v/>
      </c>
      <c r="L1730" s="13">
        <f>IF($G1730="正常",MAX($J1730-12,0),"")</f>
        <v/>
      </c>
    </row>
    <row r="1731">
      <c r="A1731" s="8" t="inlineStr">
        <is>
          <t>张天福</t>
        </is>
      </c>
      <c r="B1731" s="8" t="inlineStr">
        <is>
          <t>8/25</t>
        </is>
      </c>
      <c r="C1731" s="8" t="inlineStr">
        <is>
          <t>二</t>
        </is>
      </c>
      <c r="D1731" s="8" t="inlineStr"/>
      <c r="E1731" s="9" t="n"/>
      <c r="F1731" s="9" t="n"/>
      <c r="G1731" s="10">
        <f>IF($E1731="","空卡",IF($F1731="","单卡","正常"))</f>
        <v/>
      </c>
      <c r="H1731" s="11">
        <f>IF($G1731="正常",ROUND(($F1731-$E1731)*1440,0),"")</f>
        <v/>
      </c>
      <c r="I1731" s="12">
        <f>IF($G1731="正常",$H1731/60,"")</f>
        <v/>
      </c>
      <c r="J1731" s="13">
        <f>IF($G1731="正常",ROUND($H1731/30,0)/2,"")</f>
        <v/>
      </c>
      <c r="K1731" s="13">
        <f>IF($G1731="正常",MIN($J1731,12),"")</f>
        <v/>
      </c>
      <c r="L1731" s="13">
        <f>IF($G1731="正常",MAX($J1731-12,0),"")</f>
        <v/>
      </c>
    </row>
    <row r="1732">
      <c r="A1732" s="8" t="inlineStr">
        <is>
          <t>张天福</t>
        </is>
      </c>
      <c r="B1732" s="8" t="inlineStr">
        <is>
          <t>8/26</t>
        </is>
      </c>
      <c r="C1732" s="8" t="inlineStr">
        <is>
          <t>三</t>
        </is>
      </c>
      <c r="D1732" s="8" t="inlineStr"/>
      <c r="E1732" s="9" t="n"/>
      <c r="F1732" s="9" t="n"/>
      <c r="G1732" s="10">
        <f>IF($E1732="","空卡",IF($F1732="","单卡","正常"))</f>
        <v/>
      </c>
      <c r="H1732" s="11">
        <f>IF($G1732="正常",ROUND(($F1732-$E1732)*1440,0),"")</f>
        <v/>
      </c>
      <c r="I1732" s="12">
        <f>IF($G1732="正常",$H1732/60,"")</f>
        <v/>
      </c>
      <c r="J1732" s="13">
        <f>IF($G1732="正常",ROUND($H1732/30,0)/2,"")</f>
        <v/>
      </c>
      <c r="K1732" s="13">
        <f>IF($G1732="正常",MIN($J1732,12),"")</f>
        <v/>
      </c>
      <c r="L1732" s="13">
        <f>IF($G1732="正常",MAX($J1732-12,0),"")</f>
        <v/>
      </c>
    </row>
    <row r="1733">
      <c r="A1733" s="8" t="inlineStr">
        <is>
          <t>张天福</t>
        </is>
      </c>
      <c r="B1733" s="8" t="inlineStr">
        <is>
          <t>8/27</t>
        </is>
      </c>
      <c r="C1733" s="8" t="inlineStr">
        <is>
          <t>四</t>
        </is>
      </c>
      <c r="D1733" s="8" t="inlineStr"/>
      <c r="E1733" s="9" t="n"/>
      <c r="F1733" s="9" t="n"/>
      <c r="G1733" s="10">
        <f>IF($E1733="","空卡",IF($F1733="","单卡","正常"))</f>
        <v/>
      </c>
      <c r="H1733" s="11">
        <f>IF($G1733="正常",ROUND(($F1733-$E1733)*1440,0),"")</f>
        <v/>
      </c>
      <c r="I1733" s="12">
        <f>IF($G1733="正常",$H1733/60,"")</f>
        <v/>
      </c>
      <c r="J1733" s="13">
        <f>IF($G1733="正常",ROUND($H1733/30,0)/2,"")</f>
        <v/>
      </c>
      <c r="K1733" s="13">
        <f>IF($G1733="正常",MIN($J1733,12),"")</f>
        <v/>
      </c>
      <c r="L1733" s="13">
        <f>IF($G1733="正常",MAX($J1733-12,0),"")</f>
        <v/>
      </c>
    </row>
    <row r="1734">
      <c r="A1734" s="8" t="inlineStr">
        <is>
          <t>张天福</t>
        </is>
      </c>
      <c r="B1734" s="8" t="inlineStr">
        <is>
          <t>8/28</t>
        </is>
      </c>
      <c r="C1734" s="8" t="inlineStr">
        <is>
          <t>五</t>
        </is>
      </c>
      <c r="D1734" s="8" t="inlineStr"/>
      <c r="E1734" s="9" t="n"/>
      <c r="F1734" s="9" t="n"/>
      <c r="G1734" s="10">
        <f>IF($E1734="","空卡",IF($F1734="","单卡","正常"))</f>
        <v/>
      </c>
      <c r="H1734" s="11">
        <f>IF($G1734="正常",ROUND(($F1734-$E1734)*1440,0),"")</f>
        <v/>
      </c>
      <c r="I1734" s="12">
        <f>IF($G1734="正常",$H1734/60,"")</f>
        <v/>
      </c>
      <c r="J1734" s="13">
        <f>IF($G1734="正常",ROUND($H1734/30,0)/2,"")</f>
        <v/>
      </c>
      <c r="K1734" s="13">
        <f>IF($G1734="正常",MIN($J1734,12),"")</f>
        <v/>
      </c>
      <c r="L1734" s="13">
        <f>IF($G1734="正常",MAX($J1734-12,0),"")</f>
        <v/>
      </c>
    </row>
    <row r="1735">
      <c r="A1735" s="8" t="inlineStr">
        <is>
          <t>张天福</t>
        </is>
      </c>
      <c r="B1735" s="8" t="inlineStr">
        <is>
          <t>8/29</t>
        </is>
      </c>
      <c r="C1735" s="8" t="inlineStr">
        <is>
          <t>六</t>
        </is>
      </c>
      <c r="D1735" s="8" t="inlineStr"/>
      <c r="E1735" s="9" t="n"/>
      <c r="F1735" s="9" t="n"/>
      <c r="G1735" s="10">
        <f>IF($E1735="","空卡",IF($F1735="","单卡","正常"))</f>
        <v/>
      </c>
      <c r="H1735" s="11">
        <f>IF($G1735="正常",ROUND(($F1735-$E1735)*1440,0),"")</f>
        <v/>
      </c>
      <c r="I1735" s="12">
        <f>IF($G1735="正常",$H1735/60,"")</f>
        <v/>
      </c>
      <c r="J1735" s="13">
        <f>IF($G1735="正常",ROUND($H1735/30,0)/2,"")</f>
        <v/>
      </c>
      <c r="K1735" s="13">
        <f>IF($G1735="正常",MIN($J1735,12),"")</f>
        <v/>
      </c>
      <c r="L1735" s="13">
        <f>IF($G1735="正常",MAX($J1735-12,0),"")</f>
        <v/>
      </c>
    </row>
    <row r="1736">
      <c r="A1736" s="8" t="inlineStr">
        <is>
          <t>张天福</t>
        </is>
      </c>
      <c r="B1736" s="8" t="inlineStr">
        <is>
          <t>8/30</t>
        </is>
      </c>
      <c r="C1736" s="8" t="inlineStr">
        <is>
          <t>日</t>
        </is>
      </c>
      <c r="D1736" s="8" t="inlineStr"/>
      <c r="E1736" s="9" t="n"/>
      <c r="F1736" s="9" t="n"/>
      <c r="G1736" s="10">
        <f>IF($E1736="","空卡",IF($F1736="","单卡","正常"))</f>
        <v/>
      </c>
      <c r="H1736" s="11">
        <f>IF($G1736="正常",ROUND(($F1736-$E1736)*1440,0),"")</f>
        <v/>
      </c>
      <c r="I1736" s="12">
        <f>IF($G1736="正常",$H1736/60,"")</f>
        <v/>
      </c>
      <c r="J1736" s="13">
        <f>IF($G1736="正常",ROUND($H1736/30,0)/2,"")</f>
        <v/>
      </c>
      <c r="K1736" s="13">
        <f>IF($G1736="正常",MIN($J1736,12),"")</f>
        <v/>
      </c>
      <c r="L1736" s="13">
        <f>IF($G1736="正常",MAX($J1736-12,0),"")</f>
        <v/>
      </c>
    </row>
    <row r="1737">
      <c r="A1737" s="8" t="inlineStr">
        <is>
          <t>张天福</t>
        </is>
      </c>
      <c r="B1737" s="8" t="inlineStr">
        <is>
          <t>8/31</t>
        </is>
      </c>
      <c r="C1737" s="8" t="inlineStr">
        <is>
          <t>一</t>
        </is>
      </c>
      <c r="D1737" s="8" t="inlineStr"/>
      <c r="E1737" s="9" t="n"/>
      <c r="F1737" s="9" t="n"/>
      <c r="G1737" s="10">
        <f>IF($E1737="","空卡",IF($F1737="","单卡","正常"))</f>
        <v/>
      </c>
      <c r="H1737" s="11">
        <f>IF($G1737="正常",ROUND(($F1737-$E1737)*1440,0),"")</f>
        <v/>
      </c>
      <c r="I1737" s="12">
        <f>IF($G1737="正常",$H1737/60,"")</f>
        <v/>
      </c>
      <c r="J1737" s="13">
        <f>IF($G1737="正常",ROUND($H1737/30,0)/2,"")</f>
        <v/>
      </c>
      <c r="K1737" s="13">
        <f>IF($G1737="正常",MIN($J1737,12),"")</f>
        <v/>
      </c>
      <c r="L1737" s="13">
        <f>IF($G1737="正常",MAX($J1737-12,0),"")</f>
        <v/>
      </c>
    </row>
    <row r="1738">
      <c r="A1738" s="8" t="inlineStr">
        <is>
          <t>康林刚</t>
        </is>
      </c>
      <c r="B1738" s="8" t="inlineStr">
        <is>
          <t>8/1</t>
        </is>
      </c>
      <c r="C1738" s="8" t="inlineStr">
        <is>
          <t>六</t>
        </is>
      </c>
      <c r="D1738" s="8" t="inlineStr"/>
      <c r="E1738" s="9" t="n"/>
      <c r="F1738" s="9" t="n"/>
      <c r="G1738" s="10">
        <f>IF($E1738="","空卡",IF($F1738="","单卡","正常"))</f>
        <v/>
      </c>
      <c r="H1738" s="11">
        <f>IF($G1738="正常",ROUND(($F1738-$E1738)*1440,0),"")</f>
        <v/>
      </c>
      <c r="I1738" s="12">
        <f>IF($G1738="正常",$H1738/60,"")</f>
        <v/>
      </c>
      <c r="J1738" s="13">
        <f>IF($G1738="正常",ROUND($H1738/30,0)/2,"")</f>
        <v/>
      </c>
      <c r="K1738" s="13">
        <f>IF($G1738="正常",MIN($J1738,12),"")</f>
        <v/>
      </c>
      <c r="L1738" s="13">
        <f>IF($G1738="正常",MAX($J1738-12,0),"")</f>
        <v/>
      </c>
    </row>
    <row r="1739">
      <c r="A1739" s="8" t="inlineStr">
        <is>
          <t>康林刚</t>
        </is>
      </c>
      <c r="B1739" s="8" t="inlineStr">
        <is>
          <t>8/2</t>
        </is>
      </c>
      <c r="C1739" s="8" t="inlineStr">
        <is>
          <t>日</t>
        </is>
      </c>
      <c r="D1739" s="8" t="inlineStr"/>
      <c r="E1739" s="9" t="n"/>
      <c r="F1739" s="9" t="n"/>
      <c r="G1739" s="10">
        <f>IF($E1739="","空卡",IF($F1739="","单卡","正常"))</f>
        <v/>
      </c>
      <c r="H1739" s="11">
        <f>IF($G1739="正常",ROUND(($F1739-$E1739)*1440,0),"")</f>
        <v/>
      </c>
      <c r="I1739" s="12">
        <f>IF($G1739="正常",$H1739/60,"")</f>
        <v/>
      </c>
      <c r="J1739" s="13">
        <f>IF($G1739="正常",ROUND($H1739/30,0)/2,"")</f>
        <v/>
      </c>
      <c r="K1739" s="13">
        <f>IF($G1739="正常",MIN($J1739,12),"")</f>
        <v/>
      </c>
      <c r="L1739" s="13">
        <f>IF($G1739="正常",MAX($J1739-12,0),"")</f>
        <v/>
      </c>
    </row>
    <row r="1740">
      <c r="A1740" s="8" t="inlineStr">
        <is>
          <t>康林刚</t>
        </is>
      </c>
      <c r="B1740" s="8" t="inlineStr">
        <is>
          <t>8/3</t>
        </is>
      </c>
      <c r="C1740" s="8" t="inlineStr">
        <is>
          <t>一</t>
        </is>
      </c>
      <c r="D1740" s="8" t="inlineStr"/>
      <c r="E1740" s="9" t="n"/>
      <c r="F1740" s="9" t="n"/>
      <c r="G1740" s="10">
        <f>IF($E1740="","空卡",IF($F1740="","单卡","正常"))</f>
        <v/>
      </c>
      <c r="H1740" s="11">
        <f>IF($G1740="正常",ROUND(($F1740-$E1740)*1440,0),"")</f>
        <v/>
      </c>
      <c r="I1740" s="12">
        <f>IF($G1740="正常",$H1740/60,"")</f>
        <v/>
      </c>
      <c r="J1740" s="13">
        <f>IF($G1740="正常",ROUND($H1740/30,0)/2,"")</f>
        <v/>
      </c>
      <c r="K1740" s="13">
        <f>IF($G1740="正常",MIN($J1740,12),"")</f>
        <v/>
      </c>
      <c r="L1740" s="13">
        <f>IF($G1740="正常",MAX($J1740-12,0),"")</f>
        <v/>
      </c>
    </row>
    <row r="1741">
      <c r="A1741" s="8" t="inlineStr">
        <is>
          <t>康林刚</t>
        </is>
      </c>
      <c r="B1741" s="8" t="inlineStr">
        <is>
          <t>8/4</t>
        </is>
      </c>
      <c r="C1741" s="8" t="inlineStr">
        <is>
          <t>二</t>
        </is>
      </c>
      <c r="D1741" s="8" t="inlineStr"/>
      <c r="E1741" s="9" t="n"/>
      <c r="F1741" s="9" t="n"/>
      <c r="G1741" s="10">
        <f>IF($E1741="","空卡",IF($F1741="","单卡","正常"))</f>
        <v/>
      </c>
      <c r="H1741" s="11">
        <f>IF($G1741="正常",ROUND(($F1741-$E1741)*1440,0),"")</f>
        <v/>
      </c>
      <c r="I1741" s="12">
        <f>IF($G1741="正常",$H1741/60,"")</f>
        <v/>
      </c>
      <c r="J1741" s="13">
        <f>IF($G1741="正常",ROUND($H1741/30,0)/2,"")</f>
        <v/>
      </c>
      <c r="K1741" s="13">
        <f>IF($G1741="正常",MIN($J1741,12),"")</f>
        <v/>
      </c>
      <c r="L1741" s="13">
        <f>IF($G1741="正常",MAX($J1741-12,0),"")</f>
        <v/>
      </c>
    </row>
    <row r="1742">
      <c r="A1742" s="8" t="inlineStr">
        <is>
          <t>康林刚</t>
        </is>
      </c>
      <c r="B1742" s="8" t="inlineStr">
        <is>
          <t>8/5</t>
        </is>
      </c>
      <c r="C1742" s="8" t="inlineStr">
        <is>
          <t>三</t>
        </is>
      </c>
      <c r="D1742" s="8" t="inlineStr"/>
      <c r="E1742" s="9" t="n"/>
      <c r="F1742" s="9" t="n"/>
      <c r="G1742" s="10">
        <f>IF($E1742="","空卡",IF($F1742="","单卡","正常"))</f>
        <v/>
      </c>
      <c r="H1742" s="11">
        <f>IF($G1742="正常",ROUND(($F1742-$E1742)*1440,0),"")</f>
        <v/>
      </c>
      <c r="I1742" s="12">
        <f>IF($G1742="正常",$H1742/60,"")</f>
        <v/>
      </c>
      <c r="J1742" s="13">
        <f>IF($G1742="正常",ROUND($H1742/30,0)/2,"")</f>
        <v/>
      </c>
      <c r="K1742" s="13">
        <f>IF($G1742="正常",MIN($J1742,12),"")</f>
        <v/>
      </c>
      <c r="L1742" s="13">
        <f>IF($G1742="正常",MAX($J1742-12,0),"")</f>
        <v/>
      </c>
    </row>
    <row r="1743">
      <c r="A1743" s="8" t="inlineStr">
        <is>
          <t>康林刚</t>
        </is>
      </c>
      <c r="B1743" s="8" t="inlineStr">
        <is>
          <t>8/6</t>
        </is>
      </c>
      <c r="C1743" s="8" t="inlineStr">
        <is>
          <t>四</t>
        </is>
      </c>
      <c r="D1743" s="8" t="inlineStr"/>
      <c r="E1743" s="9" t="n"/>
      <c r="F1743" s="9" t="n"/>
      <c r="G1743" s="10">
        <f>IF($E1743="","空卡",IF($F1743="","单卡","正常"))</f>
        <v/>
      </c>
      <c r="H1743" s="11">
        <f>IF($G1743="正常",ROUND(($F1743-$E1743)*1440,0),"")</f>
        <v/>
      </c>
      <c r="I1743" s="12">
        <f>IF($G1743="正常",$H1743/60,"")</f>
        <v/>
      </c>
      <c r="J1743" s="13">
        <f>IF($G1743="正常",ROUND($H1743/30,0)/2,"")</f>
        <v/>
      </c>
      <c r="K1743" s="13">
        <f>IF($G1743="正常",MIN($J1743,12),"")</f>
        <v/>
      </c>
      <c r="L1743" s="13">
        <f>IF($G1743="正常",MAX($J1743-12,0),"")</f>
        <v/>
      </c>
    </row>
    <row r="1744">
      <c r="A1744" s="8" t="inlineStr">
        <is>
          <t>康林刚</t>
        </is>
      </c>
      <c r="B1744" s="8" t="inlineStr">
        <is>
          <t>8/7</t>
        </is>
      </c>
      <c r="C1744" s="8" t="inlineStr">
        <is>
          <t>五</t>
        </is>
      </c>
      <c r="D1744" s="8" t="inlineStr"/>
      <c r="E1744" s="9" t="n"/>
      <c r="F1744" s="9" t="n"/>
      <c r="G1744" s="10">
        <f>IF($E1744="","空卡",IF($F1744="","单卡","正常"))</f>
        <v/>
      </c>
      <c r="H1744" s="11">
        <f>IF($G1744="正常",ROUND(($F1744-$E1744)*1440,0),"")</f>
        <v/>
      </c>
      <c r="I1744" s="12">
        <f>IF($G1744="正常",$H1744/60,"")</f>
        <v/>
      </c>
      <c r="J1744" s="13">
        <f>IF($G1744="正常",ROUND($H1744/30,0)/2,"")</f>
        <v/>
      </c>
      <c r="K1744" s="13">
        <f>IF($G1744="正常",MIN($J1744,12),"")</f>
        <v/>
      </c>
      <c r="L1744" s="13">
        <f>IF($G1744="正常",MAX($J1744-12,0),"")</f>
        <v/>
      </c>
    </row>
    <row r="1745">
      <c r="A1745" s="8" t="inlineStr">
        <is>
          <t>康林刚</t>
        </is>
      </c>
      <c r="B1745" s="8" t="inlineStr">
        <is>
          <t>8/8</t>
        </is>
      </c>
      <c r="C1745" s="8" t="inlineStr">
        <is>
          <t>六</t>
        </is>
      </c>
      <c r="D1745" s="8" t="inlineStr"/>
      <c r="E1745" s="9" t="n"/>
      <c r="F1745" s="9" t="n"/>
      <c r="G1745" s="10">
        <f>IF($E1745="","空卡",IF($F1745="","单卡","正常"))</f>
        <v/>
      </c>
      <c r="H1745" s="11">
        <f>IF($G1745="正常",ROUND(($F1745-$E1745)*1440,0),"")</f>
        <v/>
      </c>
      <c r="I1745" s="12">
        <f>IF($G1745="正常",$H1745/60,"")</f>
        <v/>
      </c>
      <c r="J1745" s="13">
        <f>IF($G1745="正常",ROUND($H1745/30,0)/2,"")</f>
        <v/>
      </c>
      <c r="K1745" s="13">
        <f>IF($G1745="正常",MIN($J1745,12),"")</f>
        <v/>
      </c>
      <c r="L1745" s="13">
        <f>IF($G1745="正常",MAX($J1745-12,0),"")</f>
        <v/>
      </c>
    </row>
    <row r="1746">
      <c r="A1746" s="8" t="inlineStr">
        <is>
          <t>康林刚</t>
        </is>
      </c>
      <c r="B1746" s="8" t="inlineStr">
        <is>
          <t>8/9</t>
        </is>
      </c>
      <c r="C1746" s="8" t="inlineStr">
        <is>
          <t>日</t>
        </is>
      </c>
      <c r="D1746" s="8" t="inlineStr"/>
      <c r="E1746" s="9" t="n"/>
      <c r="F1746" s="9" t="n"/>
      <c r="G1746" s="10">
        <f>IF($E1746="","空卡",IF($F1746="","单卡","正常"))</f>
        <v/>
      </c>
      <c r="H1746" s="11">
        <f>IF($G1746="正常",ROUND(($F1746-$E1746)*1440,0),"")</f>
        <v/>
      </c>
      <c r="I1746" s="12">
        <f>IF($G1746="正常",$H1746/60,"")</f>
        <v/>
      </c>
      <c r="J1746" s="13">
        <f>IF($G1746="正常",ROUND($H1746/30,0)/2,"")</f>
        <v/>
      </c>
      <c r="K1746" s="13">
        <f>IF($G1746="正常",MIN($J1746,12),"")</f>
        <v/>
      </c>
      <c r="L1746" s="13">
        <f>IF($G1746="正常",MAX($J1746-12,0),"")</f>
        <v/>
      </c>
    </row>
    <row r="1747">
      <c r="A1747" s="8" t="inlineStr">
        <is>
          <t>康林刚</t>
        </is>
      </c>
      <c r="B1747" s="8" t="inlineStr">
        <is>
          <t>8/10</t>
        </is>
      </c>
      <c r="C1747" s="8" t="inlineStr">
        <is>
          <t>一</t>
        </is>
      </c>
      <c r="D1747" s="8" t="inlineStr"/>
      <c r="E1747" s="9" t="n"/>
      <c r="F1747" s="9" t="n"/>
      <c r="G1747" s="10">
        <f>IF($E1747="","空卡",IF($F1747="","单卡","正常"))</f>
        <v/>
      </c>
      <c r="H1747" s="11">
        <f>IF($G1747="正常",ROUND(($F1747-$E1747)*1440,0),"")</f>
        <v/>
      </c>
      <c r="I1747" s="12">
        <f>IF($G1747="正常",$H1747/60,"")</f>
        <v/>
      </c>
      <c r="J1747" s="13">
        <f>IF($G1747="正常",ROUND($H1747/30,0)/2,"")</f>
        <v/>
      </c>
      <c r="K1747" s="13">
        <f>IF($G1747="正常",MIN($J1747,12),"")</f>
        <v/>
      </c>
      <c r="L1747" s="13">
        <f>IF($G1747="正常",MAX($J1747-12,0),"")</f>
        <v/>
      </c>
    </row>
    <row r="1748">
      <c r="A1748" s="8" t="inlineStr">
        <is>
          <t>康林刚</t>
        </is>
      </c>
      <c r="B1748" s="8" t="inlineStr">
        <is>
          <t>8/11</t>
        </is>
      </c>
      <c r="C1748" s="8" t="inlineStr">
        <is>
          <t>二</t>
        </is>
      </c>
      <c r="D1748" s="8" t="inlineStr"/>
      <c r="E1748" s="9" t="n"/>
      <c r="F1748" s="9" t="n"/>
      <c r="G1748" s="10">
        <f>IF($E1748="","空卡",IF($F1748="","单卡","正常"))</f>
        <v/>
      </c>
      <c r="H1748" s="11">
        <f>IF($G1748="正常",ROUND(($F1748-$E1748)*1440,0),"")</f>
        <v/>
      </c>
      <c r="I1748" s="12">
        <f>IF($G1748="正常",$H1748/60,"")</f>
        <v/>
      </c>
      <c r="J1748" s="13">
        <f>IF($G1748="正常",ROUND($H1748/30,0)/2,"")</f>
        <v/>
      </c>
      <c r="K1748" s="13">
        <f>IF($G1748="正常",MIN($J1748,12),"")</f>
        <v/>
      </c>
      <c r="L1748" s="13">
        <f>IF($G1748="正常",MAX($J1748-12,0),"")</f>
        <v/>
      </c>
    </row>
    <row r="1749">
      <c r="A1749" s="8" t="inlineStr">
        <is>
          <t>康林刚</t>
        </is>
      </c>
      <c r="B1749" s="8" t="inlineStr">
        <is>
          <t>8/12</t>
        </is>
      </c>
      <c r="C1749" s="8" t="inlineStr">
        <is>
          <t>三</t>
        </is>
      </c>
      <c r="D1749" s="8" t="inlineStr"/>
      <c r="E1749" s="9" t="n"/>
      <c r="F1749" s="9" t="n"/>
      <c r="G1749" s="10">
        <f>IF($E1749="","空卡",IF($F1749="","单卡","正常"))</f>
        <v/>
      </c>
      <c r="H1749" s="11">
        <f>IF($G1749="正常",ROUND(($F1749-$E1749)*1440,0),"")</f>
        <v/>
      </c>
      <c r="I1749" s="12">
        <f>IF($G1749="正常",$H1749/60,"")</f>
        <v/>
      </c>
      <c r="J1749" s="13">
        <f>IF($G1749="正常",ROUND($H1749/30,0)/2,"")</f>
        <v/>
      </c>
      <c r="K1749" s="13">
        <f>IF($G1749="正常",MIN($J1749,12),"")</f>
        <v/>
      </c>
      <c r="L1749" s="13">
        <f>IF($G1749="正常",MAX($J1749-12,0),"")</f>
        <v/>
      </c>
    </row>
    <row r="1750">
      <c r="A1750" s="8" t="inlineStr">
        <is>
          <t>康林刚</t>
        </is>
      </c>
      <c r="B1750" s="8" t="inlineStr">
        <is>
          <t>8/13</t>
        </is>
      </c>
      <c r="C1750" s="8" t="inlineStr">
        <is>
          <t>四</t>
        </is>
      </c>
      <c r="D1750" s="8" t="inlineStr"/>
      <c r="E1750" s="9" t="n"/>
      <c r="F1750" s="9" t="n"/>
      <c r="G1750" s="10">
        <f>IF($E1750="","空卡",IF($F1750="","单卡","正常"))</f>
        <v/>
      </c>
      <c r="H1750" s="11">
        <f>IF($G1750="正常",ROUND(($F1750-$E1750)*1440,0),"")</f>
        <v/>
      </c>
      <c r="I1750" s="12">
        <f>IF($G1750="正常",$H1750/60,"")</f>
        <v/>
      </c>
      <c r="J1750" s="13">
        <f>IF($G1750="正常",ROUND($H1750/30,0)/2,"")</f>
        <v/>
      </c>
      <c r="K1750" s="13">
        <f>IF($G1750="正常",MIN($J1750,12),"")</f>
        <v/>
      </c>
      <c r="L1750" s="13">
        <f>IF($G1750="正常",MAX($J1750-12,0),"")</f>
        <v/>
      </c>
    </row>
    <row r="1751">
      <c r="A1751" s="8" t="inlineStr">
        <is>
          <t>康林刚</t>
        </is>
      </c>
      <c r="B1751" s="8" t="inlineStr">
        <is>
          <t>8/14</t>
        </is>
      </c>
      <c r="C1751" s="8" t="inlineStr">
        <is>
          <t>五</t>
        </is>
      </c>
      <c r="D1751" s="8" t="inlineStr"/>
      <c r="E1751" s="9" t="n"/>
      <c r="F1751" s="9" t="n"/>
      <c r="G1751" s="10">
        <f>IF($E1751="","空卡",IF($F1751="","单卡","正常"))</f>
        <v/>
      </c>
      <c r="H1751" s="11">
        <f>IF($G1751="正常",ROUND(($F1751-$E1751)*1440,0),"")</f>
        <v/>
      </c>
      <c r="I1751" s="12">
        <f>IF($G1751="正常",$H1751/60,"")</f>
        <v/>
      </c>
      <c r="J1751" s="13">
        <f>IF($G1751="正常",ROUND($H1751/30,0)/2,"")</f>
        <v/>
      </c>
      <c r="K1751" s="13">
        <f>IF($G1751="正常",MIN($J1751,12),"")</f>
        <v/>
      </c>
      <c r="L1751" s="13">
        <f>IF($G1751="正常",MAX($J1751-12,0),"")</f>
        <v/>
      </c>
    </row>
    <row r="1752">
      <c r="A1752" s="8" t="inlineStr">
        <is>
          <t>康林刚</t>
        </is>
      </c>
      <c r="B1752" s="8" t="inlineStr">
        <is>
          <t>8/15</t>
        </is>
      </c>
      <c r="C1752" s="8" t="inlineStr">
        <is>
          <t>六</t>
        </is>
      </c>
      <c r="D1752" s="8" t="inlineStr"/>
      <c r="E1752" s="9" t="n"/>
      <c r="F1752" s="9" t="n"/>
      <c r="G1752" s="10">
        <f>IF($E1752="","空卡",IF($F1752="","单卡","正常"))</f>
        <v/>
      </c>
      <c r="H1752" s="11">
        <f>IF($G1752="正常",ROUND(($F1752-$E1752)*1440,0),"")</f>
        <v/>
      </c>
      <c r="I1752" s="12">
        <f>IF($G1752="正常",$H1752/60,"")</f>
        <v/>
      </c>
      <c r="J1752" s="13">
        <f>IF($G1752="正常",ROUND($H1752/30,0)/2,"")</f>
        <v/>
      </c>
      <c r="K1752" s="13">
        <f>IF($G1752="正常",MIN($J1752,12),"")</f>
        <v/>
      </c>
      <c r="L1752" s="13">
        <f>IF($G1752="正常",MAX($J1752-12,0),"")</f>
        <v/>
      </c>
    </row>
    <row r="1753">
      <c r="A1753" s="8" t="inlineStr">
        <is>
          <t>康林刚</t>
        </is>
      </c>
      <c r="B1753" s="8" t="inlineStr">
        <is>
          <t>8/16</t>
        </is>
      </c>
      <c r="C1753" s="8" t="inlineStr">
        <is>
          <t>日</t>
        </is>
      </c>
      <c r="D1753" s="8" t="inlineStr"/>
      <c r="E1753" s="9" t="n"/>
      <c r="F1753" s="9" t="n"/>
      <c r="G1753" s="10">
        <f>IF($E1753="","空卡",IF($F1753="","单卡","正常"))</f>
        <v/>
      </c>
      <c r="H1753" s="11">
        <f>IF($G1753="正常",ROUND(($F1753-$E1753)*1440,0),"")</f>
        <v/>
      </c>
      <c r="I1753" s="12">
        <f>IF($G1753="正常",$H1753/60,"")</f>
        <v/>
      </c>
      <c r="J1753" s="13">
        <f>IF($G1753="正常",ROUND($H1753/30,0)/2,"")</f>
        <v/>
      </c>
      <c r="K1753" s="13">
        <f>IF($G1753="正常",MIN($J1753,12),"")</f>
        <v/>
      </c>
      <c r="L1753" s="13">
        <f>IF($G1753="正常",MAX($J1753-12,0),"")</f>
        <v/>
      </c>
    </row>
    <row r="1754">
      <c r="A1754" s="8" t="inlineStr">
        <is>
          <t>康林刚</t>
        </is>
      </c>
      <c r="B1754" s="8" t="inlineStr">
        <is>
          <t>8/17</t>
        </is>
      </c>
      <c r="C1754" s="8" t="inlineStr">
        <is>
          <t>一</t>
        </is>
      </c>
      <c r="D1754" s="8" t="inlineStr"/>
      <c r="E1754" s="9" t="n"/>
      <c r="F1754" s="9" t="n"/>
      <c r="G1754" s="10">
        <f>IF($E1754="","空卡",IF($F1754="","单卡","正常"))</f>
        <v/>
      </c>
      <c r="H1754" s="11">
        <f>IF($G1754="正常",ROUND(($F1754-$E1754)*1440,0),"")</f>
        <v/>
      </c>
      <c r="I1754" s="12">
        <f>IF($G1754="正常",$H1754/60,"")</f>
        <v/>
      </c>
      <c r="J1754" s="13">
        <f>IF($G1754="正常",ROUND($H1754/30,0)/2,"")</f>
        <v/>
      </c>
      <c r="K1754" s="13">
        <f>IF($G1754="正常",MIN($J1754,12),"")</f>
        <v/>
      </c>
      <c r="L1754" s="13">
        <f>IF($G1754="正常",MAX($J1754-12,0),"")</f>
        <v/>
      </c>
    </row>
    <row r="1755">
      <c r="A1755" s="8" t="inlineStr">
        <is>
          <t>康林刚</t>
        </is>
      </c>
      <c r="B1755" s="8" t="inlineStr">
        <is>
          <t>8/18</t>
        </is>
      </c>
      <c r="C1755" s="8" t="inlineStr">
        <is>
          <t>二</t>
        </is>
      </c>
      <c r="D1755" s="8" t="inlineStr"/>
      <c r="E1755" s="9" t="n"/>
      <c r="F1755" s="9" t="n"/>
      <c r="G1755" s="10">
        <f>IF($E1755="","空卡",IF($F1755="","单卡","正常"))</f>
        <v/>
      </c>
      <c r="H1755" s="11">
        <f>IF($G1755="正常",ROUND(($F1755-$E1755)*1440,0),"")</f>
        <v/>
      </c>
      <c r="I1755" s="12">
        <f>IF($G1755="正常",$H1755/60,"")</f>
        <v/>
      </c>
      <c r="J1755" s="13">
        <f>IF($G1755="正常",ROUND($H1755/30,0)/2,"")</f>
        <v/>
      </c>
      <c r="K1755" s="13">
        <f>IF($G1755="正常",MIN($J1755,12),"")</f>
        <v/>
      </c>
      <c r="L1755" s="13">
        <f>IF($G1755="正常",MAX($J1755-12,0),"")</f>
        <v/>
      </c>
    </row>
    <row r="1756">
      <c r="A1756" s="8" t="inlineStr">
        <is>
          <t>康林刚</t>
        </is>
      </c>
      <c r="B1756" s="8" t="inlineStr">
        <is>
          <t>8/19</t>
        </is>
      </c>
      <c r="C1756" s="8" t="inlineStr">
        <is>
          <t>三</t>
        </is>
      </c>
      <c r="D1756" s="8" t="inlineStr"/>
      <c r="E1756" s="9" t="n"/>
      <c r="F1756" s="9" t="n"/>
      <c r="G1756" s="10">
        <f>IF($E1756="","空卡",IF($F1756="","单卡","正常"))</f>
        <v/>
      </c>
      <c r="H1756" s="11">
        <f>IF($G1756="正常",ROUND(($F1756-$E1756)*1440,0),"")</f>
        <v/>
      </c>
      <c r="I1756" s="12">
        <f>IF($G1756="正常",$H1756/60,"")</f>
        <v/>
      </c>
      <c r="J1756" s="13">
        <f>IF($G1756="正常",ROUND($H1756/30,0)/2,"")</f>
        <v/>
      </c>
      <c r="K1756" s="13">
        <f>IF($G1756="正常",MIN($J1756,12),"")</f>
        <v/>
      </c>
      <c r="L1756" s="13">
        <f>IF($G1756="正常",MAX($J1756-12,0),"")</f>
        <v/>
      </c>
    </row>
    <row r="1757">
      <c r="A1757" s="8" t="inlineStr">
        <is>
          <t>康林刚</t>
        </is>
      </c>
      <c r="B1757" s="8" t="inlineStr">
        <is>
          <t>8/20</t>
        </is>
      </c>
      <c r="C1757" s="8" t="inlineStr">
        <is>
          <t>四</t>
        </is>
      </c>
      <c r="D1757" s="8" t="inlineStr"/>
      <c r="E1757" s="9" t="n"/>
      <c r="F1757" s="9" t="n"/>
      <c r="G1757" s="10">
        <f>IF($E1757="","空卡",IF($F1757="","单卡","正常"))</f>
        <v/>
      </c>
      <c r="H1757" s="11">
        <f>IF($G1757="正常",ROUND(($F1757-$E1757)*1440,0),"")</f>
        <v/>
      </c>
      <c r="I1757" s="12">
        <f>IF($G1757="正常",$H1757/60,"")</f>
        <v/>
      </c>
      <c r="J1757" s="13">
        <f>IF($G1757="正常",ROUND($H1757/30,0)/2,"")</f>
        <v/>
      </c>
      <c r="K1757" s="13">
        <f>IF($G1757="正常",MIN($J1757,12),"")</f>
        <v/>
      </c>
      <c r="L1757" s="13">
        <f>IF($G1757="正常",MAX($J1757-12,0),"")</f>
        <v/>
      </c>
    </row>
    <row r="1758">
      <c r="A1758" s="8" t="inlineStr">
        <is>
          <t>康林刚</t>
        </is>
      </c>
      <c r="B1758" s="8" t="inlineStr">
        <is>
          <t>8/21</t>
        </is>
      </c>
      <c r="C1758" s="8" t="inlineStr">
        <is>
          <t>五</t>
        </is>
      </c>
      <c r="D1758" s="8" t="inlineStr"/>
      <c r="E1758" s="9" t="n"/>
      <c r="F1758" s="9" t="n"/>
      <c r="G1758" s="10">
        <f>IF($E1758="","空卡",IF($F1758="","单卡","正常"))</f>
        <v/>
      </c>
      <c r="H1758" s="11">
        <f>IF($G1758="正常",ROUND(($F1758-$E1758)*1440,0),"")</f>
        <v/>
      </c>
      <c r="I1758" s="12">
        <f>IF($G1758="正常",$H1758/60,"")</f>
        <v/>
      </c>
      <c r="J1758" s="13">
        <f>IF($G1758="正常",ROUND($H1758/30,0)/2,"")</f>
        <v/>
      </c>
      <c r="K1758" s="13">
        <f>IF($G1758="正常",MIN($J1758,12),"")</f>
        <v/>
      </c>
      <c r="L1758" s="13">
        <f>IF($G1758="正常",MAX($J1758-12,0),"")</f>
        <v/>
      </c>
    </row>
    <row r="1759">
      <c r="A1759" s="8" t="inlineStr">
        <is>
          <t>康林刚</t>
        </is>
      </c>
      <c r="B1759" s="8" t="inlineStr">
        <is>
          <t>8/22</t>
        </is>
      </c>
      <c r="C1759" s="8" t="inlineStr">
        <is>
          <t>六</t>
        </is>
      </c>
      <c r="D1759" s="8" t="inlineStr"/>
      <c r="E1759" s="9" t="n"/>
      <c r="F1759" s="9" t="n"/>
      <c r="G1759" s="10">
        <f>IF($E1759="","空卡",IF($F1759="","单卡","正常"))</f>
        <v/>
      </c>
      <c r="H1759" s="11">
        <f>IF($G1759="正常",ROUND(($F1759-$E1759)*1440,0),"")</f>
        <v/>
      </c>
      <c r="I1759" s="12">
        <f>IF($G1759="正常",$H1759/60,"")</f>
        <v/>
      </c>
      <c r="J1759" s="13">
        <f>IF($G1759="正常",ROUND($H1759/30,0)/2,"")</f>
        <v/>
      </c>
      <c r="K1759" s="13">
        <f>IF($G1759="正常",MIN($J1759,12),"")</f>
        <v/>
      </c>
      <c r="L1759" s="13">
        <f>IF($G1759="正常",MAX($J1759-12,0),"")</f>
        <v/>
      </c>
    </row>
    <row r="1760">
      <c r="A1760" s="8" t="inlineStr">
        <is>
          <t>康林刚</t>
        </is>
      </c>
      <c r="B1760" s="8" t="inlineStr">
        <is>
          <t>8/23</t>
        </is>
      </c>
      <c r="C1760" s="8" t="inlineStr">
        <is>
          <t>日</t>
        </is>
      </c>
      <c r="D1760" s="8" t="inlineStr"/>
      <c r="E1760" s="9" t="n"/>
      <c r="F1760" s="9" t="n"/>
      <c r="G1760" s="10">
        <f>IF($E1760="","空卡",IF($F1760="","单卡","正常"))</f>
        <v/>
      </c>
      <c r="H1760" s="11">
        <f>IF($G1760="正常",ROUND(($F1760-$E1760)*1440,0),"")</f>
        <v/>
      </c>
      <c r="I1760" s="12">
        <f>IF($G1760="正常",$H1760/60,"")</f>
        <v/>
      </c>
      <c r="J1760" s="13">
        <f>IF($G1760="正常",ROUND($H1760/30,0)/2,"")</f>
        <v/>
      </c>
      <c r="K1760" s="13">
        <f>IF($G1760="正常",MIN($J1760,12),"")</f>
        <v/>
      </c>
      <c r="L1760" s="13">
        <f>IF($G1760="正常",MAX($J1760-12,0),"")</f>
        <v/>
      </c>
    </row>
    <row r="1761">
      <c r="A1761" s="8" t="inlineStr">
        <is>
          <t>康林刚</t>
        </is>
      </c>
      <c r="B1761" s="8" t="inlineStr">
        <is>
          <t>8/24</t>
        </is>
      </c>
      <c r="C1761" s="8" t="inlineStr">
        <is>
          <t>一</t>
        </is>
      </c>
      <c r="D1761" s="8" t="inlineStr"/>
      <c r="E1761" s="9" t="n"/>
      <c r="F1761" s="9" t="n"/>
      <c r="G1761" s="10">
        <f>IF($E1761="","空卡",IF($F1761="","单卡","正常"))</f>
        <v/>
      </c>
      <c r="H1761" s="11">
        <f>IF($G1761="正常",ROUND(($F1761-$E1761)*1440,0),"")</f>
        <v/>
      </c>
      <c r="I1761" s="12">
        <f>IF($G1761="正常",$H1761/60,"")</f>
        <v/>
      </c>
      <c r="J1761" s="13">
        <f>IF($G1761="正常",ROUND($H1761/30,0)/2,"")</f>
        <v/>
      </c>
      <c r="K1761" s="13">
        <f>IF($G1761="正常",MIN($J1761,12),"")</f>
        <v/>
      </c>
      <c r="L1761" s="13">
        <f>IF($G1761="正常",MAX($J1761-12,0),"")</f>
        <v/>
      </c>
    </row>
    <row r="1762">
      <c r="A1762" s="8" t="inlineStr">
        <is>
          <t>康林刚</t>
        </is>
      </c>
      <c r="B1762" s="8" t="inlineStr">
        <is>
          <t>8/25</t>
        </is>
      </c>
      <c r="C1762" s="8" t="inlineStr">
        <is>
          <t>二</t>
        </is>
      </c>
      <c r="D1762" s="8" t="inlineStr"/>
      <c r="E1762" s="9" t="n"/>
      <c r="F1762" s="9" t="n"/>
      <c r="G1762" s="10">
        <f>IF($E1762="","空卡",IF($F1762="","单卡","正常"))</f>
        <v/>
      </c>
      <c r="H1762" s="11">
        <f>IF($G1762="正常",ROUND(($F1762-$E1762)*1440,0),"")</f>
        <v/>
      </c>
      <c r="I1762" s="12">
        <f>IF($G1762="正常",$H1762/60,"")</f>
        <v/>
      </c>
      <c r="J1762" s="13">
        <f>IF($G1762="正常",ROUND($H1762/30,0)/2,"")</f>
        <v/>
      </c>
      <c r="K1762" s="13">
        <f>IF($G1762="正常",MIN($J1762,12),"")</f>
        <v/>
      </c>
      <c r="L1762" s="13">
        <f>IF($G1762="正常",MAX($J1762-12,0),"")</f>
        <v/>
      </c>
    </row>
    <row r="1763">
      <c r="A1763" s="8" t="inlineStr">
        <is>
          <t>康林刚</t>
        </is>
      </c>
      <c r="B1763" s="8" t="inlineStr">
        <is>
          <t>8/26</t>
        </is>
      </c>
      <c r="C1763" s="8" t="inlineStr">
        <is>
          <t>三</t>
        </is>
      </c>
      <c r="D1763" s="8" t="inlineStr"/>
      <c r="E1763" s="9" t="n"/>
      <c r="F1763" s="9" t="n"/>
      <c r="G1763" s="10">
        <f>IF($E1763="","空卡",IF($F1763="","单卡","正常"))</f>
        <v/>
      </c>
      <c r="H1763" s="11">
        <f>IF($G1763="正常",ROUND(($F1763-$E1763)*1440,0),"")</f>
        <v/>
      </c>
      <c r="I1763" s="12">
        <f>IF($G1763="正常",$H1763/60,"")</f>
        <v/>
      </c>
      <c r="J1763" s="13">
        <f>IF($G1763="正常",ROUND($H1763/30,0)/2,"")</f>
        <v/>
      </c>
      <c r="K1763" s="13">
        <f>IF($G1763="正常",MIN($J1763,12),"")</f>
        <v/>
      </c>
      <c r="L1763" s="13">
        <f>IF($G1763="正常",MAX($J1763-12,0),"")</f>
        <v/>
      </c>
    </row>
    <row r="1764">
      <c r="A1764" s="8" t="inlineStr">
        <is>
          <t>康林刚</t>
        </is>
      </c>
      <c r="B1764" s="8" t="inlineStr">
        <is>
          <t>8/27</t>
        </is>
      </c>
      <c r="C1764" s="8" t="inlineStr">
        <is>
          <t>四</t>
        </is>
      </c>
      <c r="D1764" s="8" t="inlineStr"/>
      <c r="E1764" s="9" t="n"/>
      <c r="F1764" s="9" t="n"/>
      <c r="G1764" s="10">
        <f>IF($E1764="","空卡",IF($F1764="","单卡","正常"))</f>
        <v/>
      </c>
      <c r="H1764" s="11">
        <f>IF($G1764="正常",ROUND(($F1764-$E1764)*1440,0),"")</f>
        <v/>
      </c>
      <c r="I1764" s="12">
        <f>IF($G1764="正常",$H1764/60,"")</f>
        <v/>
      </c>
      <c r="J1764" s="13">
        <f>IF($G1764="正常",ROUND($H1764/30,0)/2,"")</f>
        <v/>
      </c>
      <c r="K1764" s="13">
        <f>IF($G1764="正常",MIN($J1764,12),"")</f>
        <v/>
      </c>
      <c r="L1764" s="13">
        <f>IF($G1764="正常",MAX($J1764-12,0),"")</f>
        <v/>
      </c>
    </row>
    <row r="1765">
      <c r="A1765" s="8" t="inlineStr">
        <is>
          <t>康林刚</t>
        </is>
      </c>
      <c r="B1765" s="8" t="inlineStr">
        <is>
          <t>8/28</t>
        </is>
      </c>
      <c r="C1765" s="8" t="inlineStr">
        <is>
          <t>五</t>
        </is>
      </c>
      <c r="D1765" s="8" t="inlineStr"/>
      <c r="E1765" s="9" t="n"/>
      <c r="F1765" s="9" t="n"/>
      <c r="G1765" s="10">
        <f>IF($E1765="","空卡",IF($F1765="","单卡","正常"))</f>
        <v/>
      </c>
      <c r="H1765" s="11">
        <f>IF($G1765="正常",ROUND(($F1765-$E1765)*1440,0),"")</f>
        <v/>
      </c>
      <c r="I1765" s="12">
        <f>IF($G1765="正常",$H1765/60,"")</f>
        <v/>
      </c>
      <c r="J1765" s="13">
        <f>IF($G1765="正常",ROUND($H1765/30,0)/2,"")</f>
        <v/>
      </c>
      <c r="K1765" s="13">
        <f>IF($G1765="正常",MIN($J1765,12),"")</f>
        <v/>
      </c>
      <c r="L1765" s="13">
        <f>IF($G1765="正常",MAX($J1765-12,0),"")</f>
        <v/>
      </c>
    </row>
    <row r="1766">
      <c r="A1766" s="8" t="inlineStr">
        <is>
          <t>康林刚</t>
        </is>
      </c>
      <c r="B1766" s="8" t="inlineStr">
        <is>
          <t>8/29</t>
        </is>
      </c>
      <c r="C1766" s="8" t="inlineStr">
        <is>
          <t>六</t>
        </is>
      </c>
      <c r="D1766" s="8" t="inlineStr"/>
      <c r="E1766" s="9" t="n"/>
      <c r="F1766" s="9" t="n"/>
      <c r="G1766" s="10">
        <f>IF($E1766="","空卡",IF($F1766="","单卡","正常"))</f>
        <v/>
      </c>
      <c r="H1766" s="11">
        <f>IF($G1766="正常",ROUND(($F1766-$E1766)*1440,0),"")</f>
        <v/>
      </c>
      <c r="I1766" s="12">
        <f>IF($G1766="正常",$H1766/60,"")</f>
        <v/>
      </c>
      <c r="J1766" s="13">
        <f>IF($G1766="正常",ROUND($H1766/30,0)/2,"")</f>
        <v/>
      </c>
      <c r="K1766" s="13">
        <f>IF($G1766="正常",MIN($J1766,12),"")</f>
        <v/>
      </c>
      <c r="L1766" s="13">
        <f>IF($G1766="正常",MAX($J1766-12,0),"")</f>
        <v/>
      </c>
    </row>
    <row r="1767">
      <c r="A1767" s="8" t="inlineStr">
        <is>
          <t>康林刚</t>
        </is>
      </c>
      <c r="B1767" s="8" t="inlineStr">
        <is>
          <t>8/30</t>
        </is>
      </c>
      <c r="C1767" s="8" t="inlineStr">
        <is>
          <t>日</t>
        </is>
      </c>
      <c r="D1767" s="8" t="inlineStr"/>
      <c r="E1767" s="9" t="n"/>
      <c r="F1767" s="9" t="n"/>
      <c r="G1767" s="10">
        <f>IF($E1767="","空卡",IF($F1767="","单卡","正常"))</f>
        <v/>
      </c>
      <c r="H1767" s="11">
        <f>IF($G1767="正常",ROUND(($F1767-$E1767)*1440,0),"")</f>
        <v/>
      </c>
      <c r="I1767" s="12">
        <f>IF($G1767="正常",$H1767/60,"")</f>
        <v/>
      </c>
      <c r="J1767" s="13">
        <f>IF($G1767="正常",ROUND($H1767/30,0)/2,"")</f>
        <v/>
      </c>
      <c r="K1767" s="13">
        <f>IF($G1767="正常",MIN($J1767,12),"")</f>
        <v/>
      </c>
      <c r="L1767" s="13">
        <f>IF($G1767="正常",MAX($J1767-12,0),"")</f>
        <v/>
      </c>
    </row>
    <row r="1768">
      <c r="A1768" s="8" t="inlineStr">
        <is>
          <t>康林刚</t>
        </is>
      </c>
      <c r="B1768" s="8" t="inlineStr">
        <is>
          <t>8/31</t>
        </is>
      </c>
      <c r="C1768" s="8" t="inlineStr">
        <is>
          <t>一</t>
        </is>
      </c>
      <c r="D1768" s="8" t="inlineStr"/>
      <c r="E1768" s="9" t="n"/>
      <c r="F1768" s="9" t="n"/>
      <c r="G1768" s="10">
        <f>IF($E1768="","空卡",IF($F1768="","单卡","正常"))</f>
        <v/>
      </c>
      <c r="H1768" s="11">
        <f>IF($G1768="正常",ROUND(($F1768-$E1768)*1440,0),"")</f>
        <v/>
      </c>
      <c r="I1768" s="12">
        <f>IF($G1768="正常",$H1768/60,"")</f>
        <v/>
      </c>
      <c r="J1768" s="13">
        <f>IF($G1768="正常",ROUND($H1768/30,0)/2,"")</f>
        <v/>
      </c>
      <c r="K1768" s="13">
        <f>IF($G1768="正常",MIN($J1768,12),"")</f>
        <v/>
      </c>
      <c r="L1768" s="13">
        <f>IF($G1768="正常",MAX($J1768-12,0),"")</f>
        <v/>
      </c>
    </row>
    <row r="1769">
      <c r="A1769" s="8" t="inlineStr">
        <is>
          <t>尹洪</t>
        </is>
      </c>
      <c r="B1769" s="8" t="inlineStr">
        <is>
          <t>8/1</t>
        </is>
      </c>
      <c r="C1769" s="8" t="inlineStr">
        <is>
          <t>六</t>
        </is>
      </c>
      <c r="D1769" s="8" t="inlineStr"/>
      <c r="E1769" s="9" t="n"/>
      <c r="F1769" s="9" t="n"/>
      <c r="G1769" s="10">
        <f>IF($E1769="","空卡",IF($F1769="","单卡","正常"))</f>
        <v/>
      </c>
      <c r="H1769" s="11">
        <f>IF($G1769="正常",ROUND(($F1769-$E1769)*1440,0),"")</f>
        <v/>
      </c>
      <c r="I1769" s="12">
        <f>IF($G1769="正常",$H1769/60,"")</f>
        <v/>
      </c>
      <c r="J1769" s="13">
        <f>IF($G1769="正常",ROUND($H1769/30,0)/2,"")</f>
        <v/>
      </c>
      <c r="K1769" s="13">
        <f>IF($G1769="正常",MIN($J1769,12),"")</f>
        <v/>
      </c>
      <c r="L1769" s="13">
        <f>IF($G1769="正常",MAX($J1769-12,0),"")</f>
        <v/>
      </c>
    </row>
    <row r="1770">
      <c r="A1770" s="8" t="inlineStr">
        <is>
          <t>尹洪</t>
        </is>
      </c>
      <c r="B1770" s="8" t="inlineStr">
        <is>
          <t>8/2</t>
        </is>
      </c>
      <c r="C1770" s="8" t="inlineStr">
        <is>
          <t>日</t>
        </is>
      </c>
      <c r="D1770" s="8" t="inlineStr"/>
      <c r="E1770" s="9" t="n"/>
      <c r="F1770" s="9" t="n"/>
      <c r="G1770" s="10">
        <f>IF($E1770="","空卡",IF($F1770="","单卡","正常"))</f>
        <v/>
      </c>
      <c r="H1770" s="11">
        <f>IF($G1770="正常",ROUND(($F1770-$E1770)*1440,0),"")</f>
        <v/>
      </c>
      <c r="I1770" s="12">
        <f>IF($G1770="正常",$H1770/60,"")</f>
        <v/>
      </c>
      <c r="J1770" s="13">
        <f>IF($G1770="正常",ROUND($H1770/30,0)/2,"")</f>
        <v/>
      </c>
      <c r="K1770" s="13">
        <f>IF($G1770="正常",MIN($J1770,12),"")</f>
        <v/>
      </c>
      <c r="L1770" s="13">
        <f>IF($G1770="正常",MAX($J1770-12,0),"")</f>
        <v/>
      </c>
    </row>
    <row r="1771">
      <c r="A1771" s="8" t="inlineStr">
        <is>
          <t>尹洪</t>
        </is>
      </c>
      <c r="B1771" s="8" t="inlineStr">
        <is>
          <t>8/3</t>
        </is>
      </c>
      <c r="C1771" s="8" t="inlineStr">
        <is>
          <t>一</t>
        </is>
      </c>
      <c r="D1771" s="8" t="inlineStr"/>
      <c r="E1771" s="9" t="n"/>
      <c r="F1771" s="9" t="n"/>
      <c r="G1771" s="10">
        <f>IF($E1771="","空卡",IF($F1771="","单卡","正常"))</f>
        <v/>
      </c>
      <c r="H1771" s="11">
        <f>IF($G1771="正常",ROUND(($F1771-$E1771)*1440,0),"")</f>
        <v/>
      </c>
      <c r="I1771" s="12">
        <f>IF($G1771="正常",$H1771/60,"")</f>
        <v/>
      </c>
      <c r="J1771" s="13">
        <f>IF($G1771="正常",ROUND($H1771/30,0)/2,"")</f>
        <v/>
      </c>
      <c r="K1771" s="13">
        <f>IF($G1771="正常",MIN($J1771,12),"")</f>
        <v/>
      </c>
      <c r="L1771" s="13">
        <f>IF($G1771="正常",MAX($J1771-12,0),"")</f>
        <v/>
      </c>
    </row>
    <row r="1772">
      <c r="A1772" s="3" t="inlineStr">
        <is>
          <t>尹洪</t>
        </is>
      </c>
      <c r="B1772" s="3" t="inlineStr">
        <is>
          <t>8/4</t>
        </is>
      </c>
      <c r="C1772" s="3" t="inlineStr">
        <is>
          <t>二</t>
        </is>
      </c>
      <c r="D1772" s="3" t="inlineStr">
        <is>
          <t>12:03 19:33</t>
        </is>
      </c>
      <c r="E1772" s="4" t="n">
        <v>0.5020833333333333</v>
      </c>
      <c r="F1772" s="4" t="n">
        <v>0.8145833333333333</v>
      </c>
      <c r="G1772" s="3">
        <f>IF($E1772="","空卡",IF($F1772="","单卡","正常"))</f>
        <v/>
      </c>
      <c r="H1772" s="5">
        <f>IF($G1772="正常",ROUND(($F1772-$E1772)*1440,0),"")</f>
        <v/>
      </c>
      <c r="I1772" s="6">
        <f>IF($G1772="正常",$H1772/60,"")</f>
        <v/>
      </c>
      <c r="J1772" s="7">
        <f>IF($G1772="正常",ROUND($H1772/30,0)/2,"")</f>
        <v/>
      </c>
      <c r="K1772" s="7">
        <f>IF($G1772="正常",MIN($J1772,12),"")</f>
        <v/>
      </c>
      <c r="L1772" s="7">
        <f>IF($G1772="正常",MAX($J1772-12,0),"")</f>
        <v/>
      </c>
    </row>
    <row r="1773">
      <c r="A1773" s="3" t="inlineStr">
        <is>
          <t>尹洪</t>
        </is>
      </c>
      <c r="B1773" s="3" t="inlineStr">
        <is>
          <t>8/5</t>
        </is>
      </c>
      <c r="C1773" s="3" t="inlineStr">
        <is>
          <t>三</t>
        </is>
      </c>
      <c r="D1773" s="3" t="inlineStr">
        <is>
          <t>09:59 19:36</t>
        </is>
      </c>
      <c r="E1773" s="4" t="n">
        <v>0.4159722222222222</v>
      </c>
      <c r="F1773" s="4" t="n">
        <v>0.8166666666666667</v>
      </c>
      <c r="G1773" s="3">
        <f>IF($E1773="","空卡",IF($F1773="","单卡","正常"))</f>
        <v/>
      </c>
      <c r="H1773" s="5">
        <f>IF($G1773="正常",ROUND(($F1773-$E1773)*1440,0),"")</f>
        <v/>
      </c>
      <c r="I1773" s="6">
        <f>IF($G1773="正常",$H1773/60,"")</f>
        <v/>
      </c>
      <c r="J1773" s="7">
        <f>IF($G1773="正常",ROUND($H1773/30,0)/2,"")</f>
        <v/>
      </c>
      <c r="K1773" s="7">
        <f>IF($G1773="正常",MIN($J1773,12),"")</f>
        <v/>
      </c>
      <c r="L1773" s="7">
        <f>IF($G1773="正常",MAX($J1773-12,0),"")</f>
        <v/>
      </c>
    </row>
    <row r="1774">
      <c r="A1774" s="3" t="inlineStr">
        <is>
          <t>尹洪</t>
        </is>
      </c>
      <c r="B1774" s="3" t="inlineStr">
        <is>
          <t>8/6</t>
        </is>
      </c>
      <c r="C1774" s="3" t="inlineStr">
        <is>
          <t>四</t>
        </is>
      </c>
      <c r="D1774" s="3" t="inlineStr">
        <is>
          <t>08:50 19:04</t>
        </is>
      </c>
      <c r="E1774" s="4" t="n">
        <v>0.3680555555555556</v>
      </c>
      <c r="F1774" s="4" t="n">
        <v>0.7944444444444444</v>
      </c>
      <c r="G1774" s="3">
        <f>IF($E1774="","空卡",IF($F1774="","单卡","正常"))</f>
        <v/>
      </c>
      <c r="H1774" s="5">
        <f>IF($G1774="正常",ROUND(($F1774-$E1774)*1440,0),"")</f>
        <v/>
      </c>
      <c r="I1774" s="6">
        <f>IF($G1774="正常",$H1774/60,"")</f>
        <v/>
      </c>
      <c r="J1774" s="7">
        <f>IF($G1774="正常",ROUND($H1774/30,0)/2,"")</f>
        <v/>
      </c>
      <c r="K1774" s="7">
        <f>IF($G1774="正常",MIN($J1774,12),"")</f>
        <v/>
      </c>
      <c r="L1774" s="7">
        <f>IF($G1774="正常",MAX($J1774-12,0),"")</f>
        <v/>
      </c>
    </row>
    <row r="1775">
      <c r="A1775" s="3" t="inlineStr">
        <is>
          <t>尹洪</t>
        </is>
      </c>
      <c r="B1775" s="3" t="inlineStr">
        <is>
          <t>8/7</t>
        </is>
      </c>
      <c r="C1775" s="3" t="inlineStr">
        <is>
          <t>五</t>
        </is>
      </c>
      <c r="D1775" s="3" t="inlineStr">
        <is>
          <t>07:44 19:30</t>
        </is>
      </c>
      <c r="E1775" s="4" t="n">
        <v>0.3222222222222222</v>
      </c>
      <c r="F1775" s="4" t="n">
        <v>0.8125</v>
      </c>
      <c r="G1775" s="3">
        <f>IF($E1775="","空卡",IF($F1775="","单卡","正常"))</f>
        <v/>
      </c>
      <c r="H1775" s="5">
        <f>IF($G1775="正常",ROUND(($F1775-$E1775)*1440,0),"")</f>
        <v/>
      </c>
      <c r="I1775" s="6">
        <f>IF($G1775="正常",$H1775/60,"")</f>
        <v/>
      </c>
      <c r="J1775" s="7">
        <f>IF($G1775="正常",ROUND($H1775/30,0)/2,"")</f>
        <v/>
      </c>
      <c r="K1775" s="7">
        <f>IF($G1775="正常",MIN($J1775,12),"")</f>
        <v/>
      </c>
      <c r="L1775" s="7">
        <f>IF($G1775="正常",MAX($J1775-12,0),"")</f>
        <v/>
      </c>
    </row>
    <row r="1776">
      <c r="A1776" s="3" t="inlineStr">
        <is>
          <t>尹洪</t>
        </is>
      </c>
      <c r="B1776" s="3" t="inlineStr">
        <is>
          <t>8/8</t>
        </is>
      </c>
      <c r="C1776" s="3" t="inlineStr">
        <is>
          <t>六</t>
        </is>
      </c>
      <c r="D1776" s="3" t="inlineStr">
        <is>
          <t>08:28 19:35</t>
        </is>
      </c>
      <c r="E1776" s="4" t="n">
        <v>0.3527777777777778</v>
      </c>
      <c r="F1776" s="4" t="n">
        <v>0.8159722222222222</v>
      </c>
      <c r="G1776" s="3">
        <f>IF($E1776="","空卡",IF($F1776="","单卡","正常"))</f>
        <v/>
      </c>
      <c r="H1776" s="5">
        <f>IF($G1776="正常",ROUND(($F1776-$E1776)*1440,0),"")</f>
        <v/>
      </c>
      <c r="I1776" s="6">
        <f>IF($G1776="正常",$H1776/60,"")</f>
        <v/>
      </c>
      <c r="J1776" s="7">
        <f>IF($G1776="正常",ROUND($H1776/30,0)/2,"")</f>
        <v/>
      </c>
      <c r="K1776" s="7">
        <f>IF($G1776="正常",MIN($J1776,12),"")</f>
        <v/>
      </c>
      <c r="L1776" s="7">
        <f>IF($G1776="正常",MAX($J1776-12,0),"")</f>
        <v/>
      </c>
    </row>
    <row r="1777">
      <c r="A1777" s="8" t="inlineStr">
        <is>
          <t>尹洪</t>
        </is>
      </c>
      <c r="B1777" s="8" t="inlineStr">
        <is>
          <t>8/9</t>
        </is>
      </c>
      <c r="C1777" s="8" t="inlineStr">
        <is>
          <t>日</t>
        </is>
      </c>
      <c r="D1777" s="8" t="inlineStr"/>
      <c r="E1777" s="9" t="n"/>
      <c r="F1777" s="9" t="n"/>
      <c r="G1777" s="10">
        <f>IF($E1777="","空卡",IF($F1777="","单卡","正常"))</f>
        <v/>
      </c>
      <c r="H1777" s="11">
        <f>IF($G1777="正常",ROUND(($F1777-$E1777)*1440,0),"")</f>
        <v/>
      </c>
      <c r="I1777" s="12">
        <f>IF($G1777="正常",$H1777/60,"")</f>
        <v/>
      </c>
      <c r="J1777" s="13">
        <f>IF($G1777="正常",ROUND($H1777/30,0)/2,"")</f>
        <v/>
      </c>
      <c r="K1777" s="13">
        <f>IF($G1777="正常",MIN($J1777,12),"")</f>
        <v/>
      </c>
      <c r="L1777" s="13">
        <f>IF($G1777="正常",MAX($J1777-12,0),"")</f>
        <v/>
      </c>
    </row>
    <row r="1778">
      <c r="A1778" s="3" t="inlineStr">
        <is>
          <t>尹洪</t>
        </is>
      </c>
      <c r="B1778" s="3" t="inlineStr">
        <is>
          <t>8/10</t>
        </is>
      </c>
      <c r="C1778" s="3" t="inlineStr">
        <is>
          <t>一</t>
        </is>
      </c>
      <c r="D1778" s="3" t="inlineStr">
        <is>
          <t>08:17 19:03</t>
        </is>
      </c>
      <c r="E1778" s="4" t="n">
        <v>0.3451388888888889</v>
      </c>
      <c r="F1778" s="4" t="n">
        <v>0.79375</v>
      </c>
      <c r="G1778" s="3">
        <f>IF($E1778="","空卡",IF($F1778="","单卡","正常"))</f>
        <v/>
      </c>
      <c r="H1778" s="5">
        <f>IF($G1778="正常",ROUND(($F1778-$E1778)*1440,0),"")</f>
        <v/>
      </c>
      <c r="I1778" s="6">
        <f>IF($G1778="正常",$H1778/60,"")</f>
        <v/>
      </c>
      <c r="J1778" s="7">
        <f>IF($G1778="正常",ROUND($H1778/30,0)/2,"")</f>
        <v/>
      </c>
      <c r="K1778" s="7">
        <f>IF($G1778="正常",MIN($J1778,12),"")</f>
        <v/>
      </c>
      <c r="L1778" s="7">
        <f>IF($G1778="正常",MAX($J1778-12,0),"")</f>
        <v/>
      </c>
    </row>
    <row r="1779">
      <c r="A1779" s="3" t="inlineStr">
        <is>
          <t>尹洪</t>
        </is>
      </c>
      <c r="B1779" s="3" t="inlineStr">
        <is>
          <t>8/11</t>
        </is>
      </c>
      <c r="C1779" s="3" t="inlineStr">
        <is>
          <t>二</t>
        </is>
      </c>
      <c r="D1779" s="3" t="inlineStr">
        <is>
          <t>08:23 18:07</t>
        </is>
      </c>
      <c r="E1779" s="4" t="n">
        <v>0.3493055555555555</v>
      </c>
      <c r="F1779" s="4" t="n">
        <v>0.7548611111111111</v>
      </c>
      <c r="G1779" s="3">
        <f>IF($E1779="","空卡",IF($F1779="","单卡","正常"))</f>
        <v/>
      </c>
      <c r="H1779" s="5">
        <f>IF($G1779="正常",ROUND(($F1779-$E1779)*1440,0),"")</f>
        <v/>
      </c>
      <c r="I1779" s="6">
        <f>IF($G1779="正常",$H1779/60,"")</f>
        <v/>
      </c>
      <c r="J1779" s="7">
        <f>IF($G1779="正常",ROUND($H1779/30,0)/2,"")</f>
        <v/>
      </c>
      <c r="K1779" s="7">
        <f>IF($G1779="正常",MIN($J1779,12),"")</f>
        <v/>
      </c>
      <c r="L1779" s="7">
        <f>IF($G1779="正常",MAX($J1779-12,0),"")</f>
        <v/>
      </c>
    </row>
    <row r="1780">
      <c r="A1780" s="3" t="inlineStr">
        <is>
          <t>尹洪</t>
        </is>
      </c>
      <c r="B1780" s="3" t="inlineStr">
        <is>
          <t>8/12</t>
        </is>
      </c>
      <c r="C1780" s="3" t="inlineStr">
        <is>
          <t>三</t>
        </is>
      </c>
      <c r="D1780" s="3" t="inlineStr">
        <is>
          <t>09:40 18:35</t>
        </is>
      </c>
      <c r="E1780" s="4" t="n">
        <v>0.4027777777777778</v>
      </c>
      <c r="F1780" s="4" t="n">
        <v>0.7743055555555556</v>
      </c>
      <c r="G1780" s="3">
        <f>IF($E1780="","空卡",IF($F1780="","单卡","正常"))</f>
        <v/>
      </c>
      <c r="H1780" s="5">
        <f>IF($G1780="正常",ROUND(($F1780-$E1780)*1440,0),"")</f>
        <v/>
      </c>
      <c r="I1780" s="6">
        <f>IF($G1780="正常",$H1780/60,"")</f>
        <v/>
      </c>
      <c r="J1780" s="7">
        <f>IF($G1780="正常",ROUND($H1780/30,0)/2,"")</f>
        <v/>
      </c>
      <c r="K1780" s="7">
        <f>IF($G1780="正常",MIN($J1780,12),"")</f>
        <v/>
      </c>
      <c r="L1780" s="7">
        <f>IF($G1780="正常",MAX($J1780-12,0),"")</f>
        <v/>
      </c>
    </row>
    <row r="1781">
      <c r="A1781" s="3" t="inlineStr">
        <is>
          <t>尹洪</t>
        </is>
      </c>
      <c r="B1781" s="3" t="inlineStr">
        <is>
          <t>8/13</t>
        </is>
      </c>
      <c r="C1781" s="3" t="inlineStr">
        <is>
          <t>四</t>
        </is>
      </c>
      <c r="D1781" s="3" t="inlineStr">
        <is>
          <t>08:24 19:02</t>
        </is>
      </c>
      <c r="E1781" s="4" t="n">
        <v>0.35</v>
      </c>
      <c r="F1781" s="4" t="n">
        <v>0.7930555555555555</v>
      </c>
      <c r="G1781" s="3">
        <f>IF($E1781="","空卡",IF($F1781="","单卡","正常"))</f>
        <v/>
      </c>
      <c r="H1781" s="5">
        <f>IF($G1781="正常",ROUND(($F1781-$E1781)*1440,0),"")</f>
        <v/>
      </c>
      <c r="I1781" s="6">
        <f>IF($G1781="正常",$H1781/60,"")</f>
        <v/>
      </c>
      <c r="J1781" s="7">
        <f>IF($G1781="正常",ROUND($H1781/30,0)/2,"")</f>
        <v/>
      </c>
      <c r="K1781" s="7">
        <f>IF($G1781="正常",MIN($J1781,12),"")</f>
        <v/>
      </c>
      <c r="L1781" s="7">
        <f>IF($G1781="正常",MAX($J1781-12,0),"")</f>
        <v/>
      </c>
    </row>
    <row r="1782">
      <c r="A1782" s="8" t="inlineStr">
        <is>
          <t>尹洪</t>
        </is>
      </c>
      <c r="B1782" s="8" t="inlineStr">
        <is>
          <t>8/14</t>
        </is>
      </c>
      <c r="C1782" s="8" t="inlineStr">
        <is>
          <t>五</t>
        </is>
      </c>
      <c r="D1782" s="8" t="inlineStr"/>
      <c r="E1782" s="9" t="n"/>
      <c r="F1782" s="9" t="n"/>
      <c r="G1782" s="10">
        <f>IF($E1782="","空卡",IF($F1782="","单卡","正常"))</f>
        <v/>
      </c>
      <c r="H1782" s="11">
        <f>IF($G1782="正常",ROUND(($F1782-$E1782)*1440,0),"")</f>
        <v/>
      </c>
      <c r="I1782" s="12">
        <f>IF($G1782="正常",$H1782/60,"")</f>
        <v/>
      </c>
      <c r="J1782" s="13">
        <f>IF($G1782="正常",ROUND($H1782/30,0)/2,"")</f>
        <v/>
      </c>
      <c r="K1782" s="13">
        <f>IF($G1782="正常",MIN($J1782,12),"")</f>
        <v/>
      </c>
      <c r="L1782" s="13">
        <f>IF($G1782="正常",MAX($J1782-12,0),"")</f>
        <v/>
      </c>
    </row>
    <row r="1783">
      <c r="A1783" s="3" t="inlineStr">
        <is>
          <t>尹洪</t>
        </is>
      </c>
      <c r="B1783" s="3" t="inlineStr">
        <is>
          <t>8/15</t>
        </is>
      </c>
      <c r="C1783" s="3" t="inlineStr">
        <is>
          <t>六</t>
        </is>
      </c>
      <c r="D1783" s="3" t="inlineStr">
        <is>
          <t>06:54 19:09</t>
        </is>
      </c>
      <c r="E1783" s="4" t="n">
        <v>0.2875</v>
      </c>
      <c r="F1783" s="4" t="n">
        <v>0.7979166666666667</v>
      </c>
      <c r="G1783" s="3">
        <f>IF($E1783="","空卡",IF($F1783="","单卡","正常"))</f>
        <v/>
      </c>
      <c r="H1783" s="5">
        <f>IF($G1783="正常",ROUND(($F1783-$E1783)*1440,0),"")</f>
        <v/>
      </c>
      <c r="I1783" s="6">
        <f>IF($G1783="正常",$H1783/60,"")</f>
        <v/>
      </c>
      <c r="J1783" s="7">
        <f>IF($G1783="正常",ROUND($H1783/30,0)/2,"")</f>
        <v/>
      </c>
      <c r="K1783" s="7">
        <f>IF($G1783="正常",MIN($J1783,12),"")</f>
        <v/>
      </c>
      <c r="L1783" s="7">
        <f>IF($G1783="正常",MAX($J1783-12,0),"")</f>
        <v/>
      </c>
    </row>
    <row r="1784">
      <c r="A1784" s="8" t="inlineStr">
        <is>
          <t>尹洪</t>
        </is>
      </c>
      <c r="B1784" s="8" t="inlineStr">
        <is>
          <t>8/16</t>
        </is>
      </c>
      <c r="C1784" s="8" t="inlineStr">
        <is>
          <t>日</t>
        </is>
      </c>
      <c r="D1784" s="8" t="inlineStr"/>
      <c r="E1784" s="9" t="n"/>
      <c r="F1784" s="9" t="n"/>
      <c r="G1784" s="10">
        <f>IF($E1784="","空卡",IF($F1784="","单卡","正常"))</f>
        <v/>
      </c>
      <c r="H1784" s="11">
        <f>IF($G1784="正常",ROUND(($F1784-$E1784)*1440,0),"")</f>
        <v/>
      </c>
      <c r="I1784" s="12">
        <f>IF($G1784="正常",$H1784/60,"")</f>
        <v/>
      </c>
      <c r="J1784" s="13">
        <f>IF($G1784="正常",ROUND($H1784/30,0)/2,"")</f>
        <v/>
      </c>
      <c r="K1784" s="13">
        <f>IF($G1784="正常",MIN($J1784,12),"")</f>
        <v/>
      </c>
      <c r="L1784" s="13">
        <f>IF($G1784="正常",MAX($J1784-12,0),"")</f>
        <v/>
      </c>
    </row>
    <row r="1785">
      <c r="A1785" s="3" t="inlineStr">
        <is>
          <t>尹洪</t>
        </is>
      </c>
      <c r="B1785" s="3" t="inlineStr">
        <is>
          <t>8/17</t>
        </is>
      </c>
      <c r="C1785" s="3" t="inlineStr">
        <is>
          <t>一</t>
        </is>
      </c>
      <c r="D1785" s="3" t="inlineStr">
        <is>
          <t>07:54 19:58</t>
        </is>
      </c>
      <c r="E1785" s="4" t="n">
        <v>0.3291666666666667</v>
      </c>
      <c r="F1785" s="4" t="n">
        <v>0.8319444444444445</v>
      </c>
      <c r="G1785" s="3">
        <f>IF($E1785="","空卡",IF($F1785="","单卡","正常"))</f>
        <v/>
      </c>
      <c r="H1785" s="5">
        <f>IF($G1785="正常",ROUND(($F1785-$E1785)*1440,0),"")</f>
        <v/>
      </c>
      <c r="I1785" s="6">
        <f>IF($G1785="正常",$H1785/60,"")</f>
        <v/>
      </c>
      <c r="J1785" s="7">
        <f>IF($G1785="正常",ROUND($H1785/30,0)/2,"")</f>
        <v/>
      </c>
      <c r="K1785" s="7">
        <f>IF($G1785="正常",MIN($J1785,12),"")</f>
        <v/>
      </c>
      <c r="L1785" s="7">
        <f>IF($G1785="正常",MAX($J1785-12,0),"")</f>
        <v/>
      </c>
    </row>
    <row r="1786">
      <c r="A1786" s="3" t="inlineStr">
        <is>
          <t>尹洪</t>
        </is>
      </c>
      <c r="B1786" s="3" t="inlineStr">
        <is>
          <t>8/18</t>
        </is>
      </c>
      <c r="C1786" s="3" t="inlineStr">
        <is>
          <t>二</t>
        </is>
      </c>
      <c r="D1786" s="3" t="inlineStr">
        <is>
          <t>07:50 18:56</t>
        </is>
      </c>
      <c r="E1786" s="4" t="n">
        <v>0.3263888888888889</v>
      </c>
      <c r="F1786" s="4" t="n">
        <v>0.7888888888888889</v>
      </c>
      <c r="G1786" s="3">
        <f>IF($E1786="","空卡",IF($F1786="","单卡","正常"))</f>
        <v/>
      </c>
      <c r="H1786" s="5">
        <f>IF($G1786="正常",ROUND(($F1786-$E1786)*1440,0),"")</f>
        <v/>
      </c>
      <c r="I1786" s="6">
        <f>IF($G1786="正常",$H1786/60,"")</f>
        <v/>
      </c>
      <c r="J1786" s="7">
        <f>IF($G1786="正常",ROUND($H1786/30,0)/2,"")</f>
        <v/>
      </c>
      <c r="K1786" s="7">
        <f>IF($G1786="正常",MIN($J1786,12),"")</f>
        <v/>
      </c>
      <c r="L1786" s="7">
        <f>IF($G1786="正常",MAX($J1786-12,0),"")</f>
        <v/>
      </c>
    </row>
    <row r="1787">
      <c r="A1787" s="3" t="inlineStr">
        <is>
          <t>尹洪</t>
        </is>
      </c>
      <c r="B1787" s="3" t="inlineStr">
        <is>
          <t>8/19</t>
        </is>
      </c>
      <c r="C1787" s="3" t="inlineStr">
        <is>
          <t>三</t>
        </is>
      </c>
      <c r="D1787" s="3" t="inlineStr">
        <is>
          <t>07:26 19:48</t>
        </is>
      </c>
      <c r="E1787" s="4" t="n">
        <v>0.3097222222222222</v>
      </c>
      <c r="F1787" s="4" t="n">
        <v>0.825</v>
      </c>
      <c r="G1787" s="3">
        <f>IF($E1787="","空卡",IF($F1787="","单卡","正常"))</f>
        <v/>
      </c>
      <c r="H1787" s="5">
        <f>IF($G1787="正常",ROUND(($F1787-$E1787)*1440,0),"")</f>
        <v/>
      </c>
      <c r="I1787" s="6">
        <f>IF($G1787="正常",$H1787/60,"")</f>
        <v/>
      </c>
      <c r="J1787" s="7">
        <f>IF($G1787="正常",ROUND($H1787/30,0)/2,"")</f>
        <v/>
      </c>
      <c r="K1787" s="7">
        <f>IF($G1787="正常",MIN($J1787,12),"")</f>
        <v/>
      </c>
      <c r="L1787" s="7">
        <f>IF($G1787="正常",MAX($J1787-12,0),"")</f>
        <v/>
      </c>
    </row>
    <row r="1788">
      <c r="A1788" s="3" t="inlineStr">
        <is>
          <t>尹洪</t>
        </is>
      </c>
      <c r="B1788" s="3" t="inlineStr">
        <is>
          <t>8/20</t>
        </is>
      </c>
      <c r="C1788" s="3" t="inlineStr">
        <is>
          <t>四</t>
        </is>
      </c>
      <c r="D1788" s="3" t="inlineStr">
        <is>
          <t>10:24 19:57</t>
        </is>
      </c>
      <c r="E1788" s="4" t="n">
        <v>0.4333333333333333</v>
      </c>
      <c r="F1788" s="4" t="n">
        <v>0.83125</v>
      </c>
      <c r="G1788" s="3">
        <f>IF($E1788="","空卡",IF($F1788="","单卡","正常"))</f>
        <v/>
      </c>
      <c r="H1788" s="5">
        <f>IF($G1788="正常",ROUND(($F1788-$E1788)*1440,0),"")</f>
        <v/>
      </c>
      <c r="I1788" s="6">
        <f>IF($G1788="正常",$H1788/60,"")</f>
        <v/>
      </c>
      <c r="J1788" s="7">
        <f>IF($G1788="正常",ROUND($H1788/30,0)/2,"")</f>
        <v/>
      </c>
      <c r="K1788" s="7">
        <f>IF($G1788="正常",MIN($J1788,12),"")</f>
        <v/>
      </c>
      <c r="L1788" s="7">
        <f>IF($G1788="正常",MAX($J1788-12,0),"")</f>
        <v/>
      </c>
    </row>
    <row r="1789">
      <c r="A1789" s="3" t="inlineStr">
        <is>
          <t>尹洪</t>
        </is>
      </c>
      <c r="B1789" s="3" t="inlineStr">
        <is>
          <t>8/21</t>
        </is>
      </c>
      <c r="C1789" s="3" t="inlineStr">
        <is>
          <t>五</t>
        </is>
      </c>
      <c r="D1789" s="3" t="inlineStr">
        <is>
          <t>06:49 19:03</t>
        </is>
      </c>
      <c r="E1789" s="4" t="n">
        <v>0.2840277777777778</v>
      </c>
      <c r="F1789" s="4" t="n">
        <v>0.79375</v>
      </c>
      <c r="G1789" s="3">
        <f>IF($E1789="","空卡",IF($F1789="","单卡","正常"))</f>
        <v/>
      </c>
      <c r="H1789" s="5">
        <f>IF($G1789="正常",ROUND(($F1789-$E1789)*1440,0),"")</f>
        <v/>
      </c>
      <c r="I1789" s="6">
        <f>IF($G1789="正常",$H1789/60,"")</f>
        <v/>
      </c>
      <c r="J1789" s="7">
        <f>IF($G1789="正常",ROUND($H1789/30,0)/2,"")</f>
        <v/>
      </c>
      <c r="K1789" s="7">
        <f>IF($G1789="正常",MIN($J1789,12),"")</f>
        <v/>
      </c>
      <c r="L1789" s="7">
        <f>IF($G1789="正常",MAX($J1789-12,0),"")</f>
        <v/>
      </c>
    </row>
    <row r="1790">
      <c r="A1790" s="8" t="inlineStr">
        <is>
          <t>尹洪</t>
        </is>
      </c>
      <c r="B1790" s="8" t="inlineStr">
        <is>
          <t>8/22</t>
        </is>
      </c>
      <c r="C1790" s="8" t="inlineStr">
        <is>
          <t>六</t>
        </is>
      </c>
      <c r="D1790" s="8" t="inlineStr"/>
      <c r="E1790" s="9" t="n"/>
      <c r="F1790" s="9" t="n"/>
      <c r="G1790" s="10">
        <f>IF($E1790="","空卡",IF($F1790="","单卡","正常"))</f>
        <v/>
      </c>
      <c r="H1790" s="11">
        <f>IF($G1790="正常",ROUND(($F1790-$E1790)*1440,0),"")</f>
        <v/>
      </c>
      <c r="I1790" s="12">
        <f>IF($G1790="正常",$H1790/60,"")</f>
        <v/>
      </c>
      <c r="J1790" s="13">
        <f>IF($G1790="正常",ROUND($H1790/30,0)/2,"")</f>
        <v/>
      </c>
      <c r="K1790" s="13">
        <f>IF($G1790="正常",MIN($J1790,12),"")</f>
        <v/>
      </c>
      <c r="L1790" s="13">
        <f>IF($G1790="正常",MAX($J1790-12,0),"")</f>
        <v/>
      </c>
    </row>
    <row r="1791">
      <c r="A1791" s="8" t="inlineStr">
        <is>
          <t>尹洪</t>
        </is>
      </c>
      <c r="B1791" s="8" t="inlineStr">
        <is>
          <t>8/23</t>
        </is>
      </c>
      <c r="C1791" s="8" t="inlineStr">
        <is>
          <t>日</t>
        </is>
      </c>
      <c r="D1791" s="8" t="inlineStr"/>
      <c r="E1791" s="9" t="n"/>
      <c r="F1791" s="9" t="n"/>
      <c r="G1791" s="10">
        <f>IF($E1791="","空卡",IF($F1791="","单卡","正常"))</f>
        <v/>
      </c>
      <c r="H1791" s="11">
        <f>IF($G1791="正常",ROUND(($F1791-$E1791)*1440,0),"")</f>
        <v/>
      </c>
      <c r="I1791" s="12">
        <f>IF($G1791="正常",$H1791/60,"")</f>
        <v/>
      </c>
      <c r="J1791" s="13">
        <f>IF($G1791="正常",ROUND($H1791/30,0)/2,"")</f>
        <v/>
      </c>
      <c r="K1791" s="13">
        <f>IF($G1791="正常",MIN($J1791,12),"")</f>
        <v/>
      </c>
      <c r="L1791" s="13">
        <f>IF($G1791="正常",MAX($J1791-12,0),"")</f>
        <v/>
      </c>
    </row>
    <row r="1792">
      <c r="A1792" s="3" t="inlineStr">
        <is>
          <t>尹洪</t>
        </is>
      </c>
      <c r="B1792" s="3" t="inlineStr">
        <is>
          <t>8/24</t>
        </is>
      </c>
      <c r="C1792" s="3" t="inlineStr">
        <is>
          <t>一</t>
        </is>
      </c>
      <c r="D1792" s="3" t="inlineStr">
        <is>
          <t>06:49 16:37</t>
        </is>
      </c>
      <c r="E1792" s="4" t="n">
        <v>0.2840277777777778</v>
      </c>
      <c r="F1792" s="4" t="n">
        <v>0.6923611111111111</v>
      </c>
      <c r="G1792" s="3">
        <f>IF($E1792="","空卡",IF($F1792="","单卡","正常"))</f>
        <v/>
      </c>
      <c r="H1792" s="5">
        <f>IF($G1792="正常",ROUND(($F1792-$E1792)*1440,0),"")</f>
        <v/>
      </c>
      <c r="I1792" s="6">
        <f>IF($G1792="正常",$H1792/60,"")</f>
        <v/>
      </c>
      <c r="J1792" s="7">
        <f>IF($G1792="正常",ROUND($H1792/30,0)/2,"")</f>
        <v/>
      </c>
      <c r="K1792" s="7">
        <f>IF($G1792="正常",MIN($J1792,12),"")</f>
        <v/>
      </c>
      <c r="L1792" s="7">
        <f>IF($G1792="正常",MAX($J1792-12,0),"")</f>
        <v/>
      </c>
    </row>
    <row r="1793">
      <c r="A1793" s="3" t="inlineStr">
        <is>
          <t>尹洪</t>
        </is>
      </c>
      <c r="B1793" s="3" t="inlineStr">
        <is>
          <t>8/25</t>
        </is>
      </c>
      <c r="C1793" s="3" t="inlineStr">
        <is>
          <t>二</t>
        </is>
      </c>
      <c r="D1793" s="3" t="inlineStr">
        <is>
          <t>08:42 18:38</t>
        </is>
      </c>
      <c r="E1793" s="4" t="n">
        <v>0.3625</v>
      </c>
      <c r="F1793" s="4" t="n">
        <v>0.7763888888888889</v>
      </c>
      <c r="G1793" s="3">
        <f>IF($E1793="","空卡",IF($F1793="","单卡","正常"))</f>
        <v/>
      </c>
      <c r="H1793" s="5">
        <f>IF($G1793="正常",ROUND(($F1793-$E1793)*1440,0),"")</f>
        <v/>
      </c>
      <c r="I1793" s="6">
        <f>IF($G1793="正常",$H1793/60,"")</f>
        <v/>
      </c>
      <c r="J1793" s="7">
        <f>IF($G1793="正常",ROUND($H1793/30,0)/2,"")</f>
        <v/>
      </c>
      <c r="K1793" s="7">
        <f>IF($G1793="正常",MIN($J1793,12),"")</f>
        <v/>
      </c>
      <c r="L1793" s="7">
        <f>IF($G1793="正常",MAX($J1793-12,0),"")</f>
        <v/>
      </c>
    </row>
    <row r="1794">
      <c r="A1794" s="3" t="inlineStr">
        <is>
          <t>尹洪</t>
        </is>
      </c>
      <c r="B1794" s="3" t="inlineStr">
        <is>
          <t>8/26</t>
        </is>
      </c>
      <c r="C1794" s="3" t="inlineStr">
        <is>
          <t>三</t>
        </is>
      </c>
      <c r="D1794" s="3" t="inlineStr">
        <is>
          <t>07:50 19:03</t>
        </is>
      </c>
      <c r="E1794" s="4" t="n">
        <v>0.3263888888888889</v>
      </c>
      <c r="F1794" s="4" t="n">
        <v>0.79375</v>
      </c>
      <c r="G1794" s="3">
        <f>IF($E1794="","空卡",IF($F1794="","单卡","正常"))</f>
        <v/>
      </c>
      <c r="H1794" s="5">
        <f>IF($G1794="正常",ROUND(($F1794-$E1794)*1440,0),"")</f>
        <v/>
      </c>
      <c r="I1794" s="6">
        <f>IF($G1794="正常",$H1794/60,"")</f>
        <v/>
      </c>
      <c r="J1794" s="7">
        <f>IF($G1794="正常",ROUND($H1794/30,0)/2,"")</f>
        <v/>
      </c>
      <c r="K1794" s="7">
        <f>IF($G1794="正常",MIN($J1794,12),"")</f>
        <v/>
      </c>
      <c r="L1794" s="7">
        <f>IF($G1794="正常",MAX($J1794-12,0),"")</f>
        <v/>
      </c>
    </row>
    <row r="1795">
      <c r="A1795" s="3" t="inlineStr">
        <is>
          <t>尹洪</t>
        </is>
      </c>
      <c r="B1795" s="3" t="inlineStr">
        <is>
          <t>8/27</t>
        </is>
      </c>
      <c r="C1795" s="3" t="inlineStr">
        <is>
          <t>四</t>
        </is>
      </c>
      <c r="D1795" s="3" t="inlineStr">
        <is>
          <t>07:50 19:13</t>
        </is>
      </c>
      <c r="E1795" s="4" t="n">
        <v>0.3263888888888889</v>
      </c>
      <c r="F1795" s="4" t="n">
        <v>0.8006944444444445</v>
      </c>
      <c r="G1795" s="3">
        <f>IF($E1795="","空卡",IF($F1795="","单卡","正常"))</f>
        <v/>
      </c>
      <c r="H1795" s="5">
        <f>IF($G1795="正常",ROUND(($F1795-$E1795)*1440,0),"")</f>
        <v/>
      </c>
      <c r="I1795" s="6">
        <f>IF($G1795="正常",$H1795/60,"")</f>
        <v/>
      </c>
      <c r="J1795" s="7">
        <f>IF($G1795="正常",ROUND($H1795/30,0)/2,"")</f>
        <v/>
      </c>
      <c r="K1795" s="7">
        <f>IF($G1795="正常",MIN($J1795,12),"")</f>
        <v/>
      </c>
      <c r="L1795" s="7">
        <f>IF($G1795="正常",MAX($J1795-12,0),"")</f>
        <v/>
      </c>
    </row>
    <row r="1796">
      <c r="A1796" s="3" t="inlineStr">
        <is>
          <t>尹洪</t>
        </is>
      </c>
      <c r="B1796" s="3" t="inlineStr">
        <is>
          <t>8/28</t>
        </is>
      </c>
      <c r="C1796" s="3" t="inlineStr">
        <is>
          <t>五</t>
        </is>
      </c>
      <c r="D1796" s="3" t="inlineStr">
        <is>
          <t>07:48 18:40</t>
        </is>
      </c>
      <c r="E1796" s="4" t="n">
        <v>0.325</v>
      </c>
      <c r="F1796" s="4" t="n">
        <v>0.7777777777777778</v>
      </c>
      <c r="G1796" s="3">
        <f>IF($E1796="","空卡",IF($F1796="","单卡","正常"))</f>
        <v/>
      </c>
      <c r="H1796" s="5">
        <f>IF($G1796="正常",ROUND(($F1796-$E1796)*1440,0),"")</f>
        <v/>
      </c>
      <c r="I1796" s="6">
        <f>IF($G1796="正常",$H1796/60,"")</f>
        <v/>
      </c>
      <c r="J1796" s="7">
        <f>IF($G1796="正常",ROUND($H1796/30,0)/2,"")</f>
        <v/>
      </c>
      <c r="K1796" s="7">
        <f>IF($G1796="正常",MIN($J1796,12),"")</f>
        <v/>
      </c>
      <c r="L1796" s="7">
        <f>IF($G1796="正常",MAX($J1796-12,0),"")</f>
        <v/>
      </c>
    </row>
    <row r="1797">
      <c r="A1797" s="3" t="inlineStr">
        <is>
          <t>尹洪</t>
        </is>
      </c>
      <c r="B1797" s="3" t="inlineStr">
        <is>
          <t>8/29</t>
        </is>
      </c>
      <c r="C1797" s="3" t="inlineStr">
        <is>
          <t>六</t>
        </is>
      </c>
      <c r="D1797" s="3" t="inlineStr">
        <is>
          <t>07:42 21:03</t>
        </is>
      </c>
      <c r="E1797" s="4" t="n">
        <v>0.3208333333333334</v>
      </c>
      <c r="F1797" s="4" t="n">
        <v>0.8770833333333333</v>
      </c>
      <c r="G1797" s="3">
        <f>IF($E1797="","空卡",IF($F1797="","单卡","正常"))</f>
        <v/>
      </c>
      <c r="H1797" s="5">
        <f>IF($G1797="正常",ROUND(($F1797-$E1797)*1440,0),"")</f>
        <v/>
      </c>
      <c r="I1797" s="6">
        <f>IF($G1797="正常",$H1797/60,"")</f>
        <v/>
      </c>
      <c r="J1797" s="7">
        <f>IF($G1797="正常",ROUND($H1797/30,0)/2,"")</f>
        <v/>
      </c>
      <c r="K1797" s="7">
        <f>IF($G1797="正常",MIN($J1797,12),"")</f>
        <v/>
      </c>
      <c r="L1797" s="7">
        <f>IF($G1797="正常",MAX($J1797-12,0),"")</f>
        <v/>
      </c>
    </row>
    <row r="1798">
      <c r="A1798" s="3" t="inlineStr">
        <is>
          <t>尹洪</t>
        </is>
      </c>
      <c r="B1798" s="3" t="inlineStr">
        <is>
          <t>8/30</t>
        </is>
      </c>
      <c r="C1798" s="3" t="inlineStr">
        <is>
          <t>日</t>
        </is>
      </c>
      <c r="D1798" s="3" t="inlineStr">
        <is>
          <t>07:51 18:46</t>
        </is>
      </c>
      <c r="E1798" s="4" t="n">
        <v>0.3270833333333333</v>
      </c>
      <c r="F1798" s="4" t="n">
        <v>0.7819444444444444</v>
      </c>
      <c r="G1798" s="3">
        <f>IF($E1798="","空卡",IF($F1798="","单卡","正常"))</f>
        <v/>
      </c>
      <c r="H1798" s="5">
        <f>IF($G1798="正常",ROUND(($F1798-$E1798)*1440,0),"")</f>
        <v/>
      </c>
      <c r="I1798" s="6">
        <f>IF($G1798="正常",$H1798/60,"")</f>
        <v/>
      </c>
      <c r="J1798" s="7">
        <f>IF($G1798="正常",ROUND($H1798/30,0)/2,"")</f>
        <v/>
      </c>
      <c r="K1798" s="7">
        <f>IF($G1798="正常",MIN($J1798,12),"")</f>
        <v/>
      </c>
      <c r="L1798" s="7">
        <f>IF($G1798="正常",MAX($J1798-12,0),"")</f>
        <v/>
      </c>
    </row>
    <row r="1799">
      <c r="A1799" s="8" t="inlineStr">
        <is>
          <t>尹洪</t>
        </is>
      </c>
      <c r="B1799" s="8" t="inlineStr">
        <is>
          <t>8/31</t>
        </is>
      </c>
      <c r="C1799" s="8" t="inlineStr">
        <is>
          <t>一</t>
        </is>
      </c>
      <c r="D1799" s="8" t="inlineStr"/>
      <c r="E1799" s="9" t="n"/>
      <c r="F1799" s="9" t="n"/>
      <c r="G1799" s="10">
        <f>IF($E1799="","空卡",IF($F1799="","单卡","正常"))</f>
        <v/>
      </c>
      <c r="H1799" s="11">
        <f>IF($G1799="正常",ROUND(($F1799-$E1799)*1440,0),"")</f>
        <v/>
      </c>
      <c r="I1799" s="12">
        <f>IF($G1799="正常",$H1799/60,"")</f>
        <v/>
      </c>
      <c r="J1799" s="13">
        <f>IF($G1799="正常",ROUND($H1799/30,0)/2,"")</f>
        <v/>
      </c>
      <c r="K1799" s="13">
        <f>IF($G1799="正常",MIN($J1799,12),"")</f>
        <v/>
      </c>
      <c r="L1799" s="13">
        <f>IF($G1799="正常",MAX($J1799-12,0),"")</f>
        <v/>
      </c>
    </row>
    <row r="1800">
      <c r="A1800" s="8" t="inlineStr">
        <is>
          <t>明兴群</t>
        </is>
      </c>
      <c r="B1800" s="8" t="inlineStr">
        <is>
          <t>8/1</t>
        </is>
      </c>
      <c r="C1800" s="8" t="inlineStr">
        <is>
          <t>六</t>
        </is>
      </c>
      <c r="D1800" s="8" t="inlineStr"/>
      <c r="E1800" s="9" t="n"/>
      <c r="F1800" s="9" t="n"/>
      <c r="G1800" s="10">
        <f>IF($E1800="","空卡",IF($F1800="","单卡","正常"))</f>
        <v/>
      </c>
      <c r="H1800" s="11">
        <f>IF($G1800="正常",ROUND(($F1800-$E1800)*1440,0),"")</f>
        <v/>
      </c>
      <c r="I1800" s="12">
        <f>IF($G1800="正常",$H1800/60,"")</f>
        <v/>
      </c>
      <c r="J1800" s="13">
        <f>IF($G1800="正常",ROUND($H1800/30,0)/2,"")</f>
        <v/>
      </c>
      <c r="K1800" s="13">
        <f>IF($G1800="正常",MIN($J1800,12),"")</f>
        <v/>
      </c>
      <c r="L1800" s="13">
        <f>IF($G1800="正常",MAX($J1800-12,0),"")</f>
        <v/>
      </c>
    </row>
    <row r="1801">
      <c r="A1801" s="8" t="inlineStr">
        <is>
          <t>明兴群</t>
        </is>
      </c>
      <c r="B1801" s="8" t="inlineStr">
        <is>
          <t>8/2</t>
        </is>
      </c>
      <c r="C1801" s="8" t="inlineStr">
        <is>
          <t>日</t>
        </is>
      </c>
      <c r="D1801" s="8" t="inlineStr"/>
      <c r="E1801" s="9" t="n"/>
      <c r="F1801" s="9" t="n"/>
      <c r="G1801" s="10">
        <f>IF($E1801="","空卡",IF($F1801="","单卡","正常"))</f>
        <v/>
      </c>
      <c r="H1801" s="11">
        <f>IF($G1801="正常",ROUND(($F1801-$E1801)*1440,0),"")</f>
        <v/>
      </c>
      <c r="I1801" s="12">
        <f>IF($G1801="正常",$H1801/60,"")</f>
        <v/>
      </c>
      <c r="J1801" s="13">
        <f>IF($G1801="正常",ROUND($H1801/30,0)/2,"")</f>
        <v/>
      </c>
      <c r="K1801" s="13">
        <f>IF($G1801="正常",MIN($J1801,12),"")</f>
        <v/>
      </c>
      <c r="L1801" s="13">
        <f>IF($G1801="正常",MAX($J1801-12,0),"")</f>
        <v/>
      </c>
    </row>
    <row r="1802">
      <c r="A1802" s="8" t="inlineStr">
        <is>
          <t>明兴群</t>
        </is>
      </c>
      <c r="B1802" s="8" t="inlineStr">
        <is>
          <t>8/3</t>
        </is>
      </c>
      <c r="C1802" s="8" t="inlineStr">
        <is>
          <t>一</t>
        </is>
      </c>
      <c r="D1802" s="8" t="inlineStr"/>
      <c r="E1802" s="9" t="n"/>
      <c r="F1802" s="9" t="n"/>
      <c r="G1802" s="10">
        <f>IF($E1802="","空卡",IF($F1802="","单卡","正常"))</f>
        <v/>
      </c>
      <c r="H1802" s="11">
        <f>IF($G1802="正常",ROUND(($F1802-$E1802)*1440,0),"")</f>
        <v/>
      </c>
      <c r="I1802" s="12">
        <f>IF($G1802="正常",$H1802/60,"")</f>
        <v/>
      </c>
      <c r="J1802" s="13">
        <f>IF($G1802="正常",ROUND($H1802/30,0)/2,"")</f>
        <v/>
      </c>
      <c r="K1802" s="13">
        <f>IF($G1802="正常",MIN($J1802,12),"")</f>
        <v/>
      </c>
      <c r="L1802" s="13">
        <f>IF($G1802="正常",MAX($J1802-12,0),"")</f>
        <v/>
      </c>
    </row>
    <row r="1803">
      <c r="A1803" s="3" t="inlineStr">
        <is>
          <t>明兴群</t>
        </is>
      </c>
      <c r="B1803" s="3" t="inlineStr">
        <is>
          <t>8/4</t>
        </is>
      </c>
      <c r="C1803" s="3" t="inlineStr">
        <is>
          <t>二</t>
        </is>
      </c>
      <c r="D1803" s="3" t="inlineStr">
        <is>
          <t>12:04 19:34</t>
        </is>
      </c>
      <c r="E1803" s="4" t="n">
        <v>0.5027777777777778</v>
      </c>
      <c r="F1803" s="4" t="n">
        <v>0.8152777777777778</v>
      </c>
      <c r="G1803" s="3">
        <f>IF($E1803="","空卡",IF($F1803="","单卡","正常"))</f>
        <v/>
      </c>
      <c r="H1803" s="5">
        <f>IF($G1803="正常",ROUND(($F1803-$E1803)*1440,0),"")</f>
        <v/>
      </c>
      <c r="I1803" s="6">
        <f>IF($G1803="正常",$H1803/60,"")</f>
        <v/>
      </c>
      <c r="J1803" s="7">
        <f>IF($G1803="正常",ROUND($H1803/30,0)/2,"")</f>
        <v/>
      </c>
      <c r="K1803" s="7">
        <f>IF($G1803="正常",MIN($J1803,12),"")</f>
        <v/>
      </c>
      <c r="L1803" s="7">
        <f>IF($G1803="正常",MAX($J1803-12,0),"")</f>
        <v/>
      </c>
    </row>
    <row r="1804">
      <c r="A1804" s="3" t="inlineStr">
        <is>
          <t>明兴群</t>
        </is>
      </c>
      <c r="B1804" s="3" t="inlineStr">
        <is>
          <t>8/5</t>
        </is>
      </c>
      <c r="C1804" s="3" t="inlineStr">
        <is>
          <t>三</t>
        </is>
      </c>
      <c r="D1804" s="3" t="inlineStr">
        <is>
          <t>09:38 19:55</t>
        </is>
      </c>
      <c r="E1804" s="4" t="n">
        <v>0.4013888888888889</v>
      </c>
      <c r="F1804" s="4" t="n">
        <v>0.8298611111111112</v>
      </c>
      <c r="G1804" s="3">
        <f>IF($E1804="","空卡",IF($F1804="","单卡","正常"))</f>
        <v/>
      </c>
      <c r="H1804" s="5">
        <f>IF($G1804="正常",ROUND(($F1804-$E1804)*1440,0),"")</f>
        <v/>
      </c>
      <c r="I1804" s="6">
        <f>IF($G1804="正常",$H1804/60,"")</f>
        <v/>
      </c>
      <c r="J1804" s="7">
        <f>IF($G1804="正常",ROUND($H1804/30,0)/2,"")</f>
        <v/>
      </c>
      <c r="K1804" s="7">
        <f>IF($G1804="正常",MIN($J1804,12),"")</f>
        <v/>
      </c>
      <c r="L1804" s="7">
        <f>IF($G1804="正常",MAX($J1804-12,0),"")</f>
        <v/>
      </c>
    </row>
    <row r="1805">
      <c r="A1805" s="3" t="inlineStr">
        <is>
          <t>明兴群</t>
        </is>
      </c>
      <c r="B1805" s="3" t="inlineStr">
        <is>
          <t>8/6</t>
        </is>
      </c>
      <c r="C1805" s="3" t="inlineStr">
        <is>
          <t>四</t>
        </is>
      </c>
      <c r="D1805" s="3" t="inlineStr">
        <is>
          <t>08:52 19:01</t>
        </is>
      </c>
      <c r="E1805" s="4" t="n">
        <v>0.3694444444444445</v>
      </c>
      <c r="F1805" s="4" t="n">
        <v>0.7923611111111111</v>
      </c>
      <c r="G1805" s="3">
        <f>IF($E1805="","空卡",IF($F1805="","单卡","正常"))</f>
        <v/>
      </c>
      <c r="H1805" s="5">
        <f>IF($G1805="正常",ROUND(($F1805-$E1805)*1440,0),"")</f>
        <v/>
      </c>
      <c r="I1805" s="6">
        <f>IF($G1805="正常",$H1805/60,"")</f>
        <v/>
      </c>
      <c r="J1805" s="7">
        <f>IF($G1805="正常",ROUND($H1805/30,0)/2,"")</f>
        <v/>
      </c>
      <c r="K1805" s="7">
        <f>IF($G1805="正常",MIN($J1805,12),"")</f>
        <v/>
      </c>
      <c r="L1805" s="7">
        <f>IF($G1805="正常",MAX($J1805-12,0),"")</f>
        <v/>
      </c>
    </row>
    <row r="1806">
      <c r="A1806" s="3" t="inlineStr">
        <is>
          <t>明兴群</t>
        </is>
      </c>
      <c r="B1806" s="3" t="inlineStr">
        <is>
          <t>8/7</t>
        </is>
      </c>
      <c r="C1806" s="3" t="inlineStr">
        <is>
          <t>五</t>
        </is>
      </c>
      <c r="D1806" s="3" t="inlineStr">
        <is>
          <t>08:02 19:29</t>
        </is>
      </c>
      <c r="E1806" s="4" t="n">
        <v>0.3347222222222222</v>
      </c>
      <c r="F1806" s="4" t="n">
        <v>0.8118055555555556</v>
      </c>
      <c r="G1806" s="3">
        <f>IF($E1806="","空卡",IF($F1806="","单卡","正常"))</f>
        <v/>
      </c>
      <c r="H1806" s="5">
        <f>IF($G1806="正常",ROUND(($F1806-$E1806)*1440,0),"")</f>
        <v/>
      </c>
      <c r="I1806" s="6">
        <f>IF($G1806="正常",$H1806/60,"")</f>
        <v/>
      </c>
      <c r="J1806" s="7">
        <f>IF($G1806="正常",ROUND($H1806/30,0)/2,"")</f>
        <v/>
      </c>
      <c r="K1806" s="7">
        <f>IF($G1806="正常",MIN($J1806,12),"")</f>
        <v/>
      </c>
      <c r="L1806" s="7">
        <f>IF($G1806="正常",MAX($J1806-12,0),"")</f>
        <v/>
      </c>
    </row>
    <row r="1807">
      <c r="A1807" s="3" t="inlineStr">
        <is>
          <t>明兴群</t>
        </is>
      </c>
      <c r="B1807" s="3" t="inlineStr">
        <is>
          <t>8/8</t>
        </is>
      </c>
      <c r="C1807" s="3" t="inlineStr">
        <is>
          <t>六</t>
        </is>
      </c>
      <c r="D1807" s="3" t="inlineStr">
        <is>
          <t>08:04 19:37</t>
        </is>
      </c>
      <c r="E1807" s="4" t="n">
        <v>0.3361111111111111</v>
      </c>
      <c r="F1807" s="4" t="n">
        <v>0.8173611111111111</v>
      </c>
      <c r="G1807" s="3">
        <f>IF($E1807="","空卡",IF($F1807="","单卡","正常"))</f>
        <v/>
      </c>
      <c r="H1807" s="5">
        <f>IF($G1807="正常",ROUND(($F1807-$E1807)*1440,0),"")</f>
        <v/>
      </c>
      <c r="I1807" s="6">
        <f>IF($G1807="正常",$H1807/60,"")</f>
        <v/>
      </c>
      <c r="J1807" s="7">
        <f>IF($G1807="正常",ROUND($H1807/30,0)/2,"")</f>
        <v/>
      </c>
      <c r="K1807" s="7">
        <f>IF($G1807="正常",MIN($J1807,12),"")</f>
        <v/>
      </c>
      <c r="L1807" s="7">
        <f>IF($G1807="正常",MAX($J1807-12,0),"")</f>
        <v/>
      </c>
    </row>
    <row r="1808">
      <c r="A1808" s="8" t="inlineStr">
        <is>
          <t>明兴群</t>
        </is>
      </c>
      <c r="B1808" s="8" t="inlineStr">
        <is>
          <t>8/9</t>
        </is>
      </c>
      <c r="C1808" s="8" t="inlineStr">
        <is>
          <t>日</t>
        </is>
      </c>
      <c r="D1808" s="8" t="inlineStr"/>
      <c r="E1808" s="9" t="n"/>
      <c r="F1808" s="9" t="n"/>
      <c r="G1808" s="10">
        <f>IF($E1808="","空卡",IF($F1808="","单卡","正常"))</f>
        <v/>
      </c>
      <c r="H1808" s="11">
        <f>IF($G1808="正常",ROUND(($F1808-$E1808)*1440,0),"")</f>
        <v/>
      </c>
      <c r="I1808" s="12">
        <f>IF($G1808="正常",$H1808/60,"")</f>
        <v/>
      </c>
      <c r="J1808" s="13">
        <f>IF($G1808="正常",ROUND($H1808/30,0)/2,"")</f>
        <v/>
      </c>
      <c r="K1808" s="13">
        <f>IF($G1808="正常",MIN($J1808,12),"")</f>
        <v/>
      </c>
      <c r="L1808" s="13">
        <f>IF($G1808="正常",MAX($J1808-12,0),"")</f>
        <v/>
      </c>
    </row>
    <row r="1809">
      <c r="A1809" s="3" t="inlineStr">
        <is>
          <t>明兴群</t>
        </is>
      </c>
      <c r="B1809" s="3" t="inlineStr">
        <is>
          <t>8/10</t>
        </is>
      </c>
      <c r="C1809" s="3" t="inlineStr">
        <is>
          <t>一</t>
        </is>
      </c>
      <c r="D1809" s="3" t="inlineStr">
        <is>
          <t>08:23 19:57</t>
        </is>
      </c>
      <c r="E1809" s="4" t="n">
        <v>0.3493055555555555</v>
      </c>
      <c r="F1809" s="4" t="n">
        <v>0.83125</v>
      </c>
      <c r="G1809" s="3">
        <f>IF($E1809="","空卡",IF($F1809="","单卡","正常"))</f>
        <v/>
      </c>
      <c r="H1809" s="5">
        <f>IF($G1809="正常",ROUND(($F1809-$E1809)*1440,0),"")</f>
        <v/>
      </c>
      <c r="I1809" s="6">
        <f>IF($G1809="正常",$H1809/60,"")</f>
        <v/>
      </c>
      <c r="J1809" s="7">
        <f>IF($G1809="正常",ROUND($H1809/30,0)/2,"")</f>
        <v/>
      </c>
      <c r="K1809" s="7">
        <f>IF($G1809="正常",MIN($J1809,12),"")</f>
        <v/>
      </c>
      <c r="L1809" s="7">
        <f>IF($G1809="正常",MAX($J1809-12,0),"")</f>
        <v/>
      </c>
    </row>
    <row r="1810">
      <c r="A1810" s="3" t="inlineStr">
        <is>
          <t>明兴群</t>
        </is>
      </c>
      <c r="B1810" s="3" t="inlineStr">
        <is>
          <t>8/11</t>
        </is>
      </c>
      <c r="C1810" s="3" t="inlineStr">
        <is>
          <t>二</t>
        </is>
      </c>
      <c r="D1810" s="3" t="inlineStr">
        <is>
          <t>08:20 18:07</t>
        </is>
      </c>
      <c r="E1810" s="4" t="n">
        <v>0.3472222222222222</v>
      </c>
      <c r="F1810" s="4" t="n">
        <v>0.7548611111111111</v>
      </c>
      <c r="G1810" s="3">
        <f>IF($E1810="","空卡",IF($F1810="","单卡","正常"))</f>
        <v/>
      </c>
      <c r="H1810" s="5">
        <f>IF($G1810="正常",ROUND(($F1810-$E1810)*1440,0),"")</f>
        <v/>
      </c>
      <c r="I1810" s="6">
        <f>IF($G1810="正常",$H1810/60,"")</f>
        <v/>
      </c>
      <c r="J1810" s="7">
        <f>IF($G1810="正常",ROUND($H1810/30,0)/2,"")</f>
        <v/>
      </c>
      <c r="K1810" s="7">
        <f>IF($G1810="正常",MIN($J1810,12),"")</f>
        <v/>
      </c>
      <c r="L1810" s="7">
        <f>IF($G1810="正常",MAX($J1810-12,0),"")</f>
        <v/>
      </c>
    </row>
    <row r="1811">
      <c r="A1811" s="3" t="inlineStr">
        <is>
          <t>明兴群</t>
        </is>
      </c>
      <c r="B1811" s="3" t="inlineStr">
        <is>
          <t>8/12</t>
        </is>
      </c>
      <c r="C1811" s="3" t="inlineStr">
        <is>
          <t>三</t>
        </is>
      </c>
      <c r="D1811" s="3" t="inlineStr">
        <is>
          <t>09:30 18:36</t>
        </is>
      </c>
      <c r="E1811" s="4" t="n">
        <v>0.3958333333333333</v>
      </c>
      <c r="F1811" s="4" t="n">
        <v>0.775</v>
      </c>
      <c r="G1811" s="3">
        <f>IF($E1811="","空卡",IF($F1811="","单卡","正常"))</f>
        <v/>
      </c>
      <c r="H1811" s="5">
        <f>IF($G1811="正常",ROUND(($F1811-$E1811)*1440,0),"")</f>
        <v/>
      </c>
      <c r="I1811" s="6">
        <f>IF($G1811="正常",$H1811/60,"")</f>
        <v/>
      </c>
      <c r="J1811" s="7">
        <f>IF($G1811="正常",ROUND($H1811/30,0)/2,"")</f>
        <v/>
      </c>
      <c r="K1811" s="7">
        <f>IF($G1811="正常",MIN($J1811,12),"")</f>
        <v/>
      </c>
      <c r="L1811" s="7">
        <f>IF($G1811="正常",MAX($J1811-12,0),"")</f>
        <v/>
      </c>
    </row>
    <row r="1812">
      <c r="A1812" s="3" t="inlineStr">
        <is>
          <t>明兴群</t>
        </is>
      </c>
      <c r="B1812" s="3" t="inlineStr">
        <is>
          <t>8/13</t>
        </is>
      </c>
      <c r="C1812" s="3" t="inlineStr">
        <is>
          <t>四</t>
        </is>
      </c>
      <c r="D1812" s="3" t="inlineStr">
        <is>
          <t>09:53 18:10</t>
        </is>
      </c>
      <c r="E1812" s="4" t="n">
        <v>0.4118055555555555</v>
      </c>
      <c r="F1812" s="4" t="n">
        <v>0.7569444444444444</v>
      </c>
      <c r="G1812" s="3">
        <f>IF($E1812="","空卡",IF($F1812="","单卡","正常"))</f>
        <v/>
      </c>
      <c r="H1812" s="5">
        <f>IF($G1812="正常",ROUND(($F1812-$E1812)*1440,0),"")</f>
        <v/>
      </c>
      <c r="I1812" s="6">
        <f>IF($G1812="正常",$H1812/60,"")</f>
        <v/>
      </c>
      <c r="J1812" s="7">
        <f>IF($G1812="正常",ROUND($H1812/30,0)/2,"")</f>
        <v/>
      </c>
      <c r="K1812" s="7">
        <f>IF($G1812="正常",MIN($J1812,12),"")</f>
        <v/>
      </c>
      <c r="L1812" s="7">
        <f>IF($G1812="正常",MAX($J1812-12,0),"")</f>
        <v/>
      </c>
    </row>
    <row r="1813">
      <c r="A1813" s="8" t="inlineStr">
        <is>
          <t>明兴群</t>
        </is>
      </c>
      <c r="B1813" s="8" t="inlineStr">
        <is>
          <t>8/14</t>
        </is>
      </c>
      <c r="C1813" s="8" t="inlineStr">
        <is>
          <t>五</t>
        </is>
      </c>
      <c r="D1813" s="8" t="inlineStr"/>
      <c r="E1813" s="9" t="n"/>
      <c r="F1813" s="9" t="n"/>
      <c r="G1813" s="10">
        <f>IF($E1813="","空卡",IF($F1813="","单卡","正常"))</f>
        <v/>
      </c>
      <c r="H1813" s="11">
        <f>IF($G1813="正常",ROUND(($F1813-$E1813)*1440,0),"")</f>
        <v/>
      </c>
      <c r="I1813" s="12">
        <f>IF($G1813="正常",$H1813/60,"")</f>
        <v/>
      </c>
      <c r="J1813" s="13">
        <f>IF($G1813="正常",ROUND($H1813/30,0)/2,"")</f>
        <v/>
      </c>
      <c r="K1813" s="13">
        <f>IF($G1813="正常",MIN($J1813,12),"")</f>
        <v/>
      </c>
      <c r="L1813" s="13">
        <f>IF($G1813="正常",MAX($J1813-12,0),"")</f>
        <v/>
      </c>
    </row>
    <row r="1814">
      <c r="A1814" s="8" t="inlineStr">
        <is>
          <t>明兴群</t>
        </is>
      </c>
      <c r="B1814" s="8" t="inlineStr">
        <is>
          <t>8/15</t>
        </is>
      </c>
      <c r="C1814" s="8" t="inlineStr">
        <is>
          <t>六</t>
        </is>
      </c>
      <c r="D1814" s="8" t="inlineStr"/>
      <c r="E1814" s="9" t="n"/>
      <c r="F1814" s="9" t="n"/>
      <c r="G1814" s="10">
        <f>IF($E1814="","空卡",IF($F1814="","单卡","正常"))</f>
        <v/>
      </c>
      <c r="H1814" s="11">
        <f>IF($G1814="正常",ROUND(($F1814-$E1814)*1440,0),"")</f>
        <v/>
      </c>
      <c r="I1814" s="12">
        <f>IF($G1814="正常",$H1814/60,"")</f>
        <v/>
      </c>
      <c r="J1814" s="13">
        <f>IF($G1814="正常",ROUND($H1814/30,0)/2,"")</f>
        <v/>
      </c>
      <c r="K1814" s="13">
        <f>IF($G1814="正常",MIN($J1814,12),"")</f>
        <v/>
      </c>
      <c r="L1814" s="13">
        <f>IF($G1814="正常",MAX($J1814-12,0),"")</f>
        <v/>
      </c>
    </row>
    <row r="1815">
      <c r="A1815" s="8" t="inlineStr">
        <is>
          <t>明兴群</t>
        </is>
      </c>
      <c r="B1815" s="8" t="inlineStr">
        <is>
          <t>8/16</t>
        </is>
      </c>
      <c r="C1815" s="8" t="inlineStr">
        <is>
          <t>日</t>
        </is>
      </c>
      <c r="D1815" s="8" t="inlineStr"/>
      <c r="E1815" s="9" t="n"/>
      <c r="F1815" s="9" t="n"/>
      <c r="G1815" s="10">
        <f>IF($E1815="","空卡",IF($F1815="","单卡","正常"))</f>
        <v/>
      </c>
      <c r="H1815" s="11">
        <f>IF($G1815="正常",ROUND(($F1815-$E1815)*1440,0),"")</f>
        <v/>
      </c>
      <c r="I1815" s="12">
        <f>IF($G1815="正常",$H1815/60,"")</f>
        <v/>
      </c>
      <c r="J1815" s="13">
        <f>IF($G1815="正常",ROUND($H1815/30,0)/2,"")</f>
        <v/>
      </c>
      <c r="K1815" s="13">
        <f>IF($G1815="正常",MIN($J1815,12),"")</f>
        <v/>
      </c>
      <c r="L1815" s="13">
        <f>IF($G1815="正常",MAX($J1815-12,0),"")</f>
        <v/>
      </c>
    </row>
    <row r="1816">
      <c r="A1816" s="8" t="inlineStr">
        <is>
          <t>明兴群</t>
        </is>
      </c>
      <c r="B1816" s="8" t="inlineStr">
        <is>
          <t>8/17</t>
        </is>
      </c>
      <c r="C1816" s="8" t="inlineStr">
        <is>
          <t>一</t>
        </is>
      </c>
      <c r="D1816" s="8" t="inlineStr"/>
      <c r="E1816" s="9" t="n"/>
      <c r="F1816" s="9" t="n"/>
      <c r="G1816" s="10">
        <f>IF($E1816="","空卡",IF($F1816="","单卡","正常"))</f>
        <v/>
      </c>
      <c r="H1816" s="11">
        <f>IF($G1816="正常",ROUND(($F1816-$E1816)*1440,0),"")</f>
        <v/>
      </c>
      <c r="I1816" s="12">
        <f>IF($G1816="正常",$H1816/60,"")</f>
        <v/>
      </c>
      <c r="J1816" s="13">
        <f>IF($G1816="正常",ROUND($H1816/30,0)/2,"")</f>
        <v/>
      </c>
      <c r="K1816" s="13">
        <f>IF($G1816="正常",MIN($J1816,12),"")</f>
        <v/>
      </c>
      <c r="L1816" s="13">
        <f>IF($G1816="正常",MAX($J1816-12,0),"")</f>
        <v/>
      </c>
    </row>
    <row r="1817">
      <c r="A1817" s="8" t="inlineStr">
        <is>
          <t>明兴群</t>
        </is>
      </c>
      <c r="B1817" s="8" t="inlineStr">
        <is>
          <t>8/18</t>
        </is>
      </c>
      <c r="C1817" s="8" t="inlineStr">
        <is>
          <t>二</t>
        </is>
      </c>
      <c r="D1817" s="8" t="inlineStr"/>
      <c r="E1817" s="9" t="n"/>
      <c r="F1817" s="9" t="n"/>
      <c r="G1817" s="10">
        <f>IF($E1817="","空卡",IF($F1817="","单卡","正常"))</f>
        <v/>
      </c>
      <c r="H1817" s="11">
        <f>IF($G1817="正常",ROUND(($F1817-$E1817)*1440,0),"")</f>
        <v/>
      </c>
      <c r="I1817" s="12">
        <f>IF($G1817="正常",$H1817/60,"")</f>
        <v/>
      </c>
      <c r="J1817" s="13">
        <f>IF($G1817="正常",ROUND($H1817/30,0)/2,"")</f>
        <v/>
      </c>
      <c r="K1817" s="13">
        <f>IF($G1817="正常",MIN($J1817,12),"")</f>
        <v/>
      </c>
      <c r="L1817" s="13">
        <f>IF($G1817="正常",MAX($J1817-12,0),"")</f>
        <v/>
      </c>
    </row>
    <row r="1818">
      <c r="A1818" s="8" t="inlineStr">
        <is>
          <t>明兴群</t>
        </is>
      </c>
      <c r="B1818" s="8" t="inlineStr">
        <is>
          <t>8/19</t>
        </is>
      </c>
      <c r="C1818" s="8" t="inlineStr">
        <is>
          <t>三</t>
        </is>
      </c>
      <c r="D1818" s="8" t="inlineStr"/>
      <c r="E1818" s="9" t="n"/>
      <c r="F1818" s="9" t="n"/>
      <c r="G1818" s="10">
        <f>IF($E1818="","空卡",IF($F1818="","单卡","正常"))</f>
        <v/>
      </c>
      <c r="H1818" s="11">
        <f>IF($G1818="正常",ROUND(($F1818-$E1818)*1440,0),"")</f>
        <v/>
      </c>
      <c r="I1818" s="12">
        <f>IF($G1818="正常",$H1818/60,"")</f>
        <v/>
      </c>
      <c r="J1818" s="13">
        <f>IF($G1818="正常",ROUND($H1818/30,0)/2,"")</f>
        <v/>
      </c>
      <c r="K1818" s="13">
        <f>IF($G1818="正常",MIN($J1818,12),"")</f>
        <v/>
      </c>
      <c r="L1818" s="13">
        <f>IF($G1818="正常",MAX($J1818-12,0),"")</f>
        <v/>
      </c>
    </row>
    <row r="1819">
      <c r="A1819" s="8" t="inlineStr">
        <is>
          <t>明兴群</t>
        </is>
      </c>
      <c r="B1819" s="8" t="inlineStr">
        <is>
          <t>8/20</t>
        </is>
      </c>
      <c r="C1819" s="8" t="inlineStr">
        <is>
          <t>四</t>
        </is>
      </c>
      <c r="D1819" s="8" t="inlineStr"/>
      <c r="E1819" s="9" t="n"/>
      <c r="F1819" s="9" t="n"/>
      <c r="G1819" s="10">
        <f>IF($E1819="","空卡",IF($F1819="","单卡","正常"))</f>
        <v/>
      </c>
      <c r="H1819" s="11">
        <f>IF($G1819="正常",ROUND(($F1819-$E1819)*1440,0),"")</f>
        <v/>
      </c>
      <c r="I1819" s="12">
        <f>IF($G1819="正常",$H1819/60,"")</f>
        <v/>
      </c>
      <c r="J1819" s="13">
        <f>IF($G1819="正常",ROUND($H1819/30,0)/2,"")</f>
        <v/>
      </c>
      <c r="K1819" s="13">
        <f>IF($G1819="正常",MIN($J1819,12),"")</f>
        <v/>
      </c>
      <c r="L1819" s="13">
        <f>IF($G1819="正常",MAX($J1819-12,0),"")</f>
        <v/>
      </c>
    </row>
    <row r="1820">
      <c r="A1820" s="8" t="inlineStr">
        <is>
          <t>明兴群</t>
        </is>
      </c>
      <c r="B1820" s="8" t="inlineStr">
        <is>
          <t>8/21</t>
        </is>
      </c>
      <c r="C1820" s="8" t="inlineStr">
        <is>
          <t>五</t>
        </is>
      </c>
      <c r="D1820" s="8" t="inlineStr"/>
      <c r="E1820" s="9" t="n"/>
      <c r="F1820" s="9" t="n"/>
      <c r="G1820" s="10">
        <f>IF($E1820="","空卡",IF($F1820="","单卡","正常"))</f>
        <v/>
      </c>
      <c r="H1820" s="11">
        <f>IF($G1820="正常",ROUND(($F1820-$E1820)*1440,0),"")</f>
        <v/>
      </c>
      <c r="I1820" s="12">
        <f>IF($G1820="正常",$H1820/60,"")</f>
        <v/>
      </c>
      <c r="J1820" s="13">
        <f>IF($G1820="正常",ROUND($H1820/30,0)/2,"")</f>
        <v/>
      </c>
      <c r="K1820" s="13">
        <f>IF($G1820="正常",MIN($J1820,12),"")</f>
        <v/>
      </c>
      <c r="L1820" s="13">
        <f>IF($G1820="正常",MAX($J1820-12,0),"")</f>
        <v/>
      </c>
    </row>
    <row r="1821">
      <c r="A1821" s="8" t="inlineStr">
        <is>
          <t>明兴群</t>
        </is>
      </c>
      <c r="B1821" s="8" t="inlineStr">
        <is>
          <t>8/22</t>
        </is>
      </c>
      <c r="C1821" s="8" t="inlineStr">
        <is>
          <t>六</t>
        </is>
      </c>
      <c r="D1821" s="8" t="inlineStr"/>
      <c r="E1821" s="9" t="n"/>
      <c r="F1821" s="9" t="n"/>
      <c r="G1821" s="10">
        <f>IF($E1821="","空卡",IF($F1821="","单卡","正常"))</f>
        <v/>
      </c>
      <c r="H1821" s="11">
        <f>IF($G1821="正常",ROUND(($F1821-$E1821)*1440,0),"")</f>
        <v/>
      </c>
      <c r="I1821" s="12">
        <f>IF($G1821="正常",$H1821/60,"")</f>
        <v/>
      </c>
      <c r="J1821" s="13">
        <f>IF($G1821="正常",ROUND($H1821/30,0)/2,"")</f>
        <v/>
      </c>
      <c r="K1821" s="13">
        <f>IF($G1821="正常",MIN($J1821,12),"")</f>
        <v/>
      </c>
      <c r="L1821" s="13">
        <f>IF($G1821="正常",MAX($J1821-12,0),"")</f>
        <v/>
      </c>
    </row>
    <row r="1822">
      <c r="A1822" s="8" t="inlineStr">
        <is>
          <t>明兴群</t>
        </is>
      </c>
      <c r="B1822" s="8" t="inlineStr">
        <is>
          <t>8/23</t>
        </is>
      </c>
      <c r="C1822" s="8" t="inlineStr">
        <is>
          <t>日</t>
        </is>
      </c>
      <c r="D1822" s="8" t="inlineStr"/>
      <c r="E1822" s="9" t="n"/>
      <c r="F1822" s="9" t="n"/>
      <c r="G1822" s="10">
        <f>IF($E1822="","空卡",IF($F1822="","单卡","正常"))</f>
        <v/>
      </c>
      <c r="H1822" s="11">
        <f>IF($G1822="正常",ROUND(($F1822-$E1822)*1440,0),"")</f>
        <v/>
      </c>
      <c r="I1822" s="12">
        <f>IF($G1822="正常",$H1822/60,"")</f>
        <v/>
      </c>
      <c r="J1822" s="13">
        <f>IF($G1822="正常",ROUND($H1822/30,0)/2,"")</f>
        <v/>
      </c>
      <c r="K1822" s="13">
        <f>IF($G1822="正常",MIN($J1822,12),"")</f>
        <v/>
      </c>
      <c r="L1822" s="13">
        <f>IF($G1822="正常",MAX($J1822-12,0),"")</f>
        <v/>
      </c>
    </row>
    <row r="1823">
      <c r="A1823" s="8" t="inlineStr">
        <is>
          <t>明兴群</t>
        </is>
      </c>
      <c r="B1823" s="8" t="inlineStr">
        <is>
          <t>8/24</t>
        </is>
      </c>
      <c r="C1823" s="8" t="inlineStr">
        <is>
          <t>一</t>
        </is>
      </c>
      <c r="D1823" s="8" t="inlineStr"/>
      <c r="E1823" s="9" t="n"/>
      <c r="F1823" s="9" t="n"/>
      <c r="G1823" s="10">
        <f>IF($E1823="","空卡",IF($F1823="","单卡","正常"))</f>
        <v/>
      </c>
      <c r="H1823" s="11">
        <f>IF($G1823="正常",ROUND(($F1823-$E1823)*1440,0),"")</f>
        <v/>
      </c>
      <c r="I1823" s="12">
        <f>IF($G1823="正常",$H1823/60,"")</f>
        <v/>
      </c>
      <c r="J1823" s="13">
        <f>IF($G1823="正常",ROUND($H1823/30,0)/2,"")</f>
        <v/>
      </c>
      <c r="K1823" s="13">
        <f>IF($G1823="正常",MIN($J1823,12),"")</f>
        <v/>
      </c>
      <c r="L1823" s="13">
        <f>IF($G1823="正常",MAX($J1823-12,0),"")</f>
        <v/>
      </c>
    </row>
    <row r="1824">
      <c r="A1824" s="8" t="inlineStr">
        <is>
          <t>明兴群</t>
        </is>
      </c>
      <c r="B1824" s="8" t="inlineStr">
        <is>
          <t>8/25</t>
        </is>
      </c>
      <c r="C1824" s="8" t="inlineStr">
        <is>
          <t>二</t>
        </is>
      </c>
      <c r="D1824" s="8" t="inlineStr"/>
      <c r="E1824" s="9" t="n"/>
      <c r="F1824" s="9" t="n"/>
      <c r="G1824" s="10">
        <f>IF($E1824="","空卡",IF($F1824="","单卡","正常"))</f>
        <v/>
      </c>
      <c r="H1824" s="11">
        <f>IF($G1824="正常",ROUND(($F1824-$E1824)*1440,0),"")</f>
        <v/>
      </c>
      <c r="I1824" s="12">
        <f>IF($G1824="正常",$H1824/60,"")</f>
        <v/>
      </c>
      <c r="J1824" s="13">
        <f>IF($G1824="正常",ROUND($H1824/30,0)/2,"")</f>
        <v/>
      </c>
      <c r="K1824" s="13">
        <f>IF($G1824="正常",MIN($J1824,12),"")</f>
        <v/>
      </c>
      <c r="L1824" s="13">
        <f>IF($G1824="正常",MAX($J1824-12,0),"")</f>
        <v/>
      </c>
    </row>
    <row r="1825">
      <c r="A1825" s="8" t="inlineStr">
        <is>
          <t>明兴群</t>
        </is>
      </c>
      <c r="B1825" s="8" t="inlineStr">
        <is>
          <t>8/26</t>
        </is>
      </c>
      <c r="C1825" s="8" t="inlineStr">
        <is>
          <t>三</t>
        </is>
      </c>
      <c r="D1825" s="8" t="inlineStr"/>
      <c r="E1825" s="9" t="n"/>
      <c r="F1825" s="9" t="n"/>
      <c r="G1825" s="10">
        <f>IF($E1825="","空卡",IF($F1825="","单卡","正常"))</f>
        <v/>
      </c>
      <c r="H1825" s="11">
        <f>IF($G1825="正常",ROUND(($F1825-$E1825)*1440,0),"")</f>
        <v/>
      </c>
      <c r="I1825" s="12">
        <f>IF($G1825="正常",$H1825/60,"")</f>
        <v/>
      </c>
      <c r="J1825" s="13">
        <f>IF($G1825="正常",ROUND($H1825/30,0)/2,"")</f>
        <v/>
      </c>
      <c r="K1825" s="13">
        <f>IF($G1825="正常",MIN($J1825,12),"")</f>
        <v/>
      </c>
      <c r="L1825" s="13">
        <f>IF($G1825="正常",MAX($J1825-12,0),"")</f>
        <v/>
      </c>
    </row>
    <row r="1826">
      <c r="A1826" s="8" t="inlineStr">
        <is>
          <t>明兴群</t>
        </is>
      </c>
      <c r="B1826" s="8" t="inlineStr">
        <is>
          <t>8/27</t>
        </is>
      </c>
      <c r="C1826" s="8" t="inlineStr">
        <is>
          <t>四</t>
        </is>
      </c>
      <c r="D1826" s="8" t="inlineStr"/>
      <c r="E1826" s="9" t="n"/>
      <c r="F1826" s="9" t="n"/>
      <c r="G1826" s="10">
        <f>IF($E1826="","空卡",IF($F1826="","单卡","正常"))</f>
        <v/>
      </c>
      <c r="H1826" s="11">
        <f>IF($G1826="正常",ROUND(($F1826-$E1826)*1440,0),"")</f>
        <v/>
      </c>
      <c r="I1826" s="12">
        <f>IF($G1826="正常",$H1826/60,"")</f>
        <v/>
      </c>
      <c r="J1826" s="13">
        <f>IF($G1826="正常",ROUND($H1826/30,0)/2,"")</f>
        <v/>
      </c>
      <c r="K1826" s="13">
        <f>IF($G1826="正常",MIN($J1826,12),"")</f>
        <v/>
      </c>
      <c r="L1826" s="13">
        <f>IF($G1826="正常",MAX($J1826-12,0),"")</f>
        <v/>
      </c>
    </row>
    <row r="1827">
      <c r="A1827" s="8" t="inlineStr">
        <is>
          <t>明兴群</t>
        </is>
      </c>
      <c r="B1827" s="8" t="inlineStr">
        <is>
          <t>8/28</t>
        </is>
      </c>
      <c r="C1827" s="8" t="inlineStr">
        <is>
          <t>五</t>
        </is>
      </c>
      <c r="D1827" s="8" t="inlineStr"/>
      <c r="E1827" s="9" t="n"/>
      <c r="F1827" s="9" t="n"/>
      <c r="G1827" s="10">
        <f>IF($E1827="","空卡",IF($F1827="","单卡","正常"))</f>
        <v/>
      </c>
      <c r="H1827" s="11">
        <f>IF($G1827="正常",ROUND(($F1827-$E1827)*1440,0),"")</f>
        <v/>
      </c>
      <c r="I1827" s="12">
        <f>IF($G1827="正常",$H1827/60,"")</f>
        <v/>
      </c>
      <c r="J1827" s="13">
        <f>IF($G1827="正常",ROUND($H1827/30,0)/2,"")</f>
        <v/>
      </c>
      <c r="K1827" s="13">
        <f>IF($G1827="正常",MIN($J1827,12),"")</f>
        <v/>
      </c>
      <c r="L1827" s="13">
        <f>IF($G1827="正常",MAX($J1827-12,0),"")</f>
        <v/>
      </c>
    </row>
    <row r="1828">
      <c r="A1828" s="8" t="inlineStr">
        <is>
          <t>明兴群</t>
        </is>
      </c>
      <c r="B1828" s="8" t="inlineStr">
        <is>
          <t>8/29</t>
        </is>
      </c>
      <c r="C1828" s="8" t="inlineStr">
        <is>
          <t>六</t>
        </is>
      </c>
      <c r="D1828" s="8" t="inlineStr"/>
      <c r="E1828" s="9" t="n"/>
      <c r="F1828" s="9" t="n"/>
      <c r="G1828" s="10">
        <f>IF($E1828="","空卡",IF($F1828="","单卡","正常"))</f>
        <v/>
      </c>
      <c r="H1828" s="11">
        <f>IF($G1828="正常",ROUND(($F1828-$E1828)*1440,0),"")</f>
        <v/>
      </c>
      <c r="I1828" s="12">
        <f>IF($G1828="正常",$H1828/60,"")</f>
        <v/>
      </c>
      <c r="J1828" s="13">
        <f>IF($G1828="正常",ROUND($H1828/30,0)/2,"")</f>
        <v/>
      </c>
      <c r="K1828" s="13">
        <f>IF($G1828="正常",MIN($J1828,12),"")</f>
        <v/>
      </c>
      <c r="L1828" s="13">
        <f>IF($G1828="正常",MAX($J1828-12,0),"")</f>
        <v/>
      </c>
    </row>
    <row r="1829">
      <c r="A1829" s="8" t="inlineStr">
        <is>
          <t>明兴群</t>
        </is>
      </c>
      <c r="B1829" s="8" t="inlineStr">
        <is>
          <t>8/30</t>
        </is>
      </c>
      <c r="C1829" s="8" t="inlineStr">
        <is>
          <t>日</t>
        </is>
      </c>
      <c r="D1829" s="8" t="inlineStr"/>
      <c r="E1829" s="9" t="n"/>
      <c r="F1829" s="9" t="n"/>
      <c r="G1829" s="10">
        <f>IF($E1829="","空卡",IF($F1829="","单卡","正常"))</f>
        <v/>
      </c>
      <c r="H1829" s="11">
        <f>IF($G1829="正常",ROUND(($F1829-$E1829)*1440,0),"")</f>
        <v/>
      </c>
      <c r="I1829" s="12">
        <f>IF($G1829="正常",$H1829/60,"")</f>
        <v/>
      </c>
      <c r="J1829" s="13">
        <f>IF($G1829="正常",ROUND($H1829/30,0)/2,"")</f>
        <v/>
      </c>
      <c r="K1829" s="13">
        <f>IF($G1829="正常",MIN($J1829,12),"")</f>
        <v/>
      </c>
      <c r="L1829" s="13">
        <f>IF($G1829="正常",MAX($J1829-12,0),"")</f>
        <v/>
      </c>
    </row>
    <row r="1830">
      <c r="A1830" s="8" t="inlineStr">
        <is>
          <t>明兴群</t>
        </is>
      </c>
      <c r="B1830" s="8" t="inlineStr">
        <is>
          <t>8/31</t>
        </is>
      </c>
      <c r="C1830" s="8" t="inlineStr">
        <is>
          <t>一</t>
        </is>
      </c>
      <c r="D1830" s="8" t="inlineStr"/>
      <c r="E1830" s="9" t="n"/>
      <c r="F1830" s="9" t="n"/>
      <c r="G1830" s="10">
        <f>IF($E1830="","空卡",IF($F1830="","单卡","正常"))</f>
        <v/>
      </c>
      <c r="H1830" s="11">
        <f>IF($G1830="正常",ROUND(($F1830-$E1830)*1440,0),"")</f>
        <v/>
      </c>
      <c r="I1830" s="12">
        <f>IF($G1830="正常",$H1830/60,"")</f>
        <v/>
      </c>
      <c r="J1830" s="13">
        <f>IF($G1830="正常",ROUND($H1830/30,0)/2,"")</f>
        <v/>
      </c>
      <c r="K1830" s="13">
        <f>IF($G1830="正常",MIN($J1830,12),"")</f>
        <v/>
      </c>
      <c r="L1830" s="13">
        <f>IF($G1830="正常",MAX($J1830-12,0),"")</f>
        <v/>
      </c>
    </row>
    <row r="1831">
      <c r="A1831" s="8" t="inlineStr">
        <is>
          <t>周歧兰</t>
        </is>
      </c>
      <c r="B1831" s="8" t="inlineStr">
        <is>
          <t>8/1</t>
        </is>
      </c>
      <c r="C1831" s="8" t="inlineStr">
        <is>
          <t>六</t>
        </is>
      </c>
      <c r="D1831" s="8" t="inlineStr"/>
      <c r="E1831" s="9" t="n"/>
      <c r="F1831" s="9" t="n"/>
      <c r="G1831" s="10">
        <f>IF($E1831="","空卡",IF($F1831="","单卡","正常"))</f>
        <v/>
      </c>
      <c r="H1831" s="11">
        <f>IF($G1831="正常",ROUND(($F1831-$E1831)*1440,0),"")</f>
        <v/>
      </c>
      <c r="I1831" s="12">
        <f>IF($G1831="正常",$H1831/60,"")</f>
        <v/>
      </c>
      <c r="J1831" s="13">
        <f>IF($G1831="正常",ROUND($H1831/30,0)/2,"")</f>
        <v/>
      </c>
      <c r="K1831" s="13">
        <f>IF($G1831="正常",MIN($J1831,12),"")</f>
        <v/>
      </c>
      <c r="L1831" s="13">
        <f>IF($G1831="正常",MAX($J1831-12,0),"")</f>
        <v/>
      </c>
    </row>
    <row r="1832">
      <c r="A1832" s="8" t="inlineStr">
        <is>
          <t>周歧兰</t>
        </is>
      </c>
      <c r="B1832" s="8" t="inlineStr">
        <is>
          <t>8/2</t>
        </is>
      </c>
      <c r="C1832" s="8" t="inlineStr">
        <is>
          <t>日</t>
        </is>
      </c>
      <c r="D1832" s="8" t="inlineStr"/>
      <c r="E1832" s="9" t="n"/>
      <c r="F1832" s="9" t="n"/>
      <c r="G1832" s="10">
        <f>IF($E1832="","空卡",IF($F1832="","单卡","正常"))</f>
        <v/>
      </c>
      <c r="H1832" s="11">
        <f>IF($G1832="正常",ROUND(($F1832-$E1832)*1440,0),"")</f>
        <v/>
      </c>
      <c r="I1832" s="12">
        <f>IF($G1832="正常",$H1832/60,"")</f>
        <v/>
      </c>
      <c r="J1832" s="13">
        <f>IF($G1832="正常",ROUND($H1832/30,0)/2,"")</f>
        <v/>
      </c>
      <c r="K1832" s="13">
        <f>IF($G1832="正常",MIN($J1832,12),"")</f>
        <v/>
      </c>
      <c r="L1832" s="13">
        <f>IF($G1832="正常",MAX($J1832-12,0),"")</f>
        <v/>
      </c>
    </row>
    <row r="1833">
      <c r="A1833" s="8" t="inlineStr">
        <is>
          <t>周歧兰</t>
        </is>
      </c>
      <c r="B1833" s="8" t="inlineStr">
        <is>
          <t>8/3</t>
        </is>
      </c>
      <c r="C1833" s="8" t="inlineStr">
        <is>
          <t>一</t>
        </is>
      </c>
      <c r="D1833" s="8" t="inlineStr"/>
      <c r="E1833" s="9" t="n"/>
      <c r="F1833" s="9" t="n"/>
      <c r="G1833" s="10">
        <f>IF($E1833="","空卡",IF($F1833="","单卡","正常"))</f>
        <v/>
      </c>
      <c r="H1833" s="11">
        <f>IF($G1833="正常",ROUND(($F1833-$E1833)*1440,0),"")</f>
        <v/>
      </c>
      <c r="I1833" s="12">
        <f>IF($G1833="正常",$H1833/60,"")</f>
        <v/>
      </c>
      <c r="J1833" s="13">
        <f>IF($G1833="正常",ROUND($H1833/30,0)/2,"")</f>
        <v/>
      </c>
      <c r="K1833" s="13">
        <f>IF($G1833="正常",MIN($J1833,12),"")</f>
        <v/>
      </c>
      <c r="L1833" s="13">
        <f>IF($G1833="正常",MAX($J1833-12,0),"")</f>
        <v/>
      </c>
    </row>
    <row r="1834">
      <c r="A1834" s="8" t="inlineStr">
        <is>
          <t>周歧兰</t>
        </is>
      </c>
      <c r="B1834" s="8" t="inlineStr">
        <is>
          <t>8/4</t>
        </is>
      </c>
      <c r="C1834" s="8" t="inlineStr">
        <is>
          <t>二</t>
        </is>
      </c>
      <c r="D1834" s="8" t="inlineStr"/>
      <c r="E1834" s="9" t="n"/>
      <c r="F1834" s="9" t="n"/>
      <c r="G1834" s="10">
        <f>IF($E1834="","空卡",IF($F1834="","单卡","正常"))</f>
        <v/>
      </c>
      <c r="H1834" s="11">
        <f>IF($G1834="正常",ROUND(($F1834-$E1834)*1440,0),"")</f>
        <v/>
      </c>
      <c r="I1834" s="12">
        <f>IF($G1834="正常",$H1834/60,"")</f>
        <v/>
      </c>
      <c r="J1834" s="13">
        <f>IF($G1834="正常",ROUND($H1834/30,0)/2,"")</f>
        <v/>
      </c>
      <c r="K1834" s="13">
        <f>IF($G1834="正常",MIN($J1834,12),"")</f>
        <v/>
      </c>
      <c r="L1834" s="13">
        <f>IF($G1834="正常",MAX($J1834-12,0),"")</f>
        <v/>
      </c>
    </row>
    <row r="1835">
      <c r="A1835" s="8" t="inlineStr">
        <is>
          <t>周歧兰</t>
        </is>
      </c>
      <c r="B1835" s="8" t="inlineStr">
        <is>
          <t>8/5</t>
        </is>
      </c>
      <c r="C1835" s="8" t="inlineStr">
        <is>
          <t>三</t>
        </is>
      </c>
      <c r="D1835" s="8" t="inlineStr"/>
      <c r="E1835" s="9" t="n"/>
      <c r="F1835" s="9" t="n"/>
      <c r="G1835" s="10">
        <f>IF($E1835="","空卡",IF($F1835="","单卡","正常"))</f>
        <v/>
      </c>
      <c r="H1835" s="11">
        <f>IF($G1835="正常",ROUND(($F1835-$E1835)*1440,0),"")</f>
        <v/>
      </c>
      <c r="I1835" s="12">
        <f>IF($G1835="正常",$H1835/60,"")</f>
        <v/>
      </c>
      <c r="J1835" s="13">
        <f>IF($G1835="正常",ROUND($H1835/30,0)/2,"")</f>
        <v/>
      </c>
      <c r="K1835" s="13">
        <f>IF($G1835="正常",MIN($J1835,12),"")</f>
        <v/>
      </c>
      <c r="L1835" s="13">
        <f>IF($G1835="正常",MAX($J1835-12,0),"")</f>
        <v/>
      </c>
    </row>
    <row r="1836">
      <c r="A1836" s="8" t="inlineStr">
        <is>
          <t>周歧兰</t>
        </is>
      </c>
      <c r="B1836" s="8" t="inlineStr">
        <is>
          <t>8/6</t>
        </is>
      </c>
      <c r="C1836" s="8" t="inlineStr">
        <is>
          <t>四</t>
        </is>
      </c>
      <c r="D1836" s="8" t="inlineStr"/>
      <c r="E1836" s="9" t="n"/>
      <c r="F1836" s="9" t="n"/>
      <c r="G1836" s="10">
        <f>IF($E1836="","空卡",IF($F1836="","单卡","正常"))</f>
        <v/>
      </c>
      <c r="H1836" s="11">
        <f>IF($G1836="正常",ROUND(($F1836-$E1836)*1440,0),"")</f>
        <v/>
      </c>
      <c r="I1836" s="12">
        <f>IF($G1836="正常",$H1836/60,"")</f>
        <v/>
      </c>
      <c r="J1836" s="13">
        <f>IF($G1836="正常",ROUND($H1836/30,0)/2,"")</f>
        <v/>
      </c>
      <c r="K1836" s="13">
        <f>IF($G1836="正常",MIN($J1836,12),"")</f>
        <v/>
      </c>
      <c r="L1836" s="13">
        <f>IF($G1836="正常",MAX($J1836-12,0),"")</f>
        <v/>
      </c>
    </row>
    <row r="1837">
      <c r="A1837" s="8" t="inlineStr">
        <is>
          <t>周歧兰</t>
        </is>
      </c>
      <c r="B1837" s="8" t="inlineStr">
        <is>
          <t>8/7</t>
        </is>
      </c>
      <c r="C1837" s="8" t="inlineStr">
        <is>
          <t>五</t>
        </is>
      </c>
      <c r="D1837" s="8" t="inlineStr"/>
      <c r="E1837" s="9" t="n"/>
      <c r="F1837" s="9" t="n"/>
      <c r="G1837" s="10">
        <f>IF($E1837="","空卡",IF($F1837="","单卡","正常"))</f>
        <v/>
      </c>
      <c r="H1837" s="11">
        <f>IF($G1837="正常",ROUND(($F1837-$E1837)*1440,0),"")</f>
        <v/>
      </c>
      <c r="I1837" s="12">
        <f>IF($G1837="正常",$H1837/60,"")</f>
        <v/>
      </c>
      <c r="J1837" s="13">
        <f>IF($G1837="正常",ROUND($H1837/30,0)/2,"")</f>
        <v/>
      </c>
      <c r="K1837" s="13">
        <f>IF($G1837="正常",MIN($J1837,12),"")</f>
        <v/>
      </c>
      <c r="L1837" s="13">
        <f>IF($G1837="正常",MAX($J1837-12,0),"")</f>
        <v/>
      </c>
    </row>
    <row r="1838">
      <c r="A1838" s="8" t="inlineStr">
        <is>
          <t>周歧兰</t>
        </is>
      </c>
      <c r="B1838" s="8" t="inlineStr">
        <is>
          <t>8/8</t>
        </is>
      </c>
      <c r="C1838" s="8" t="inlineStr">
        <is>
          <t>六</t>
        </is>
      </c>
      <c r="D1838" s="8" t="inlineStr"/>
      <c r="E1838" s="9" t="n"/>
      <c r="F1838" s="9" t="n"/>
      <c r="G1838" s="10">
        <f>IF($E1838="","空卡",IF($F1838="","单卡","正常"))</f>
        <v/>
      </c>
      <c r="H1838" s="11">
        <f>IF($G1838="正常",ROUND(($F1838-$E1838)*1440,0),"")</f>
        <v/>
      </c>
      <c r="I1838" s="12">
        <f>IF($G1838="正常",$H1838/60,"")</f>
        <v/>
      </c>
      <c r="J1838" s="13">
        <f>IF($G1838="正常",ROUND($H1838/30,0)/2,"")</f>
        <v/>
      </c>
      <c r="K1838" s="13">
        <f>IF($G1838="正常",MIN($J1838,12),"")</f>
        <v/>
      </c>
      <c r="L1838" s="13">
        <f>IF($G1838="正常",MAX($J1838-12,0),"")</f>
        <v/>
      </c>
    </row>
    <row r="1839">
      <c r="A1839" s="8" t="inlineStr">
        <is>
          <t>周歧兰</t>
        </is>
      </c>
      <c r="B1839" s="8" t="inlineStr">
        <is>
          <t>8/9</t>
        </is>
      </c>
      <c r="C1839" s="8" t="inlineStr">
        <is>
          <t>日</t>
        </is>
      </c>
      <c r="D1839" s="8" t="inlineStr"/>
      <c r="E1839" s="9" t="n"/>
      <c r="F1839" s="9" t="n"/>
      <c r="G1839" s="10">
        <f>IF($E1839="","空卡",IF($F1839="","单卡","正常"))</f>
        <v/>
      </c>
      <c r="H1839" s="11">
        <f>IF($G1839="正常",ROUND(($F1839-$E1839)*1440,0),"")</f>
        <v/>
      </c>
      <c r="I1839" s="12">
        <f>IF($G1839="正常",$H1839/60,"")</f>
        <v/>
      </c>
      <c r="J1839" s="13">
        <f>IF($G1839="正常",ROUND($H1839/30,0)/2,"")</f>
        <v/>
      </c>
      <c r="K1839" s="13">
        <f>IF($G1839="正常",MIN($J1839,12),"")</f>
        <v/>
      </c>
      <c r="L1839" s="13">
        <f>IF($G1839="正常",MAX($J1839-12,0),"")</f>
        <v/>
      </c>
    </row>
    <row r="1840">
      <c r="A1840" s="8" t="inlineStr">
        <is>
          <t>周歧兰</t>
        </is>
      </c>
      <c r="B1840" s="8" t="inlineStr">
        <is>
          <t>8/10</t>
        </is>
      </c>
      <c r="C1840" s="8" t="inlineStr">
        <is>
          <t>一</t>
        </is>
      </c>
      <c r="D1840" s="8" t="inlineStr"/>
      <c r="E1840" s="9" t="n"/>
      <c r="F1840" s="9" t="n"/>
      <c r="G1840" s="10">
        <f>IF($E1840="","空卡",IF($F1840="","单卡","正常"))</f>
        <v/>
      </c>
      <c r="H1840" s="11">
        <f>IF($G1840="正常",ROUND(($F1840-$E1840)*1440,0),"")</f>
        <v/>
      </c>
      <c r="I1840" s="12">
        <f>IF($G1840="正常",$H1840/60,"")</f>
        <v/>
      </c>
      <c r="J1840" s="13">
        <f>IF($G1840="正常",ROUND($H1840/30,0)/2,"")</f>
        <v/>
      </c>
      <c r="K1840" s="13">
        <f>IF($G1840="正常",MIN($J1840,12),"")</f>
        <v/>
      </c>
      <c r="L1840" s="13">
        <f>IF($G1840="正常",MAX($J1840-12,0),"")</f>
        <v/>
      </c>
    </row>
    <row r="1841">
      <c r="A1841" s="8" t="inlineStr">
        <is>
          <t>周歧兰</t>
        </is>
      </c>
      <c r="B1841" s="8" t="inlineStr">
        <is>
          <t>8/11</t>
        </is>
      </c>
      <c r="C1841" s="8" t="inlineStr">
        <is>
          <t>二</t>
        </is>
      </c>
      <c r="D1841" s="8" t="inlineStr"/>
      <c r="E1841" s="9" t="n"/>
      <c r="F1841" s="9" t="n"/>
      <c r="G1841" s="10">
        <f>IF($E1841="","空卡",IF($F1841="","单卡","正常"))</f>
        <v/>
      </c>
      <c r="H1841" s="11">
        <f>IF($G1841="正常",ROUND(($F1841-$E1841)*1440,0),"")</f>
        <v/>
      </c>
      <c r="I1841" s="12">
        <f>IF($G1841="正常",$H1841/60,"")</f>
        <v/>
      </c>
      <c r="J1841" s="13">
        <f>IF($G1841="正常",ROUND($H1841/30,0)/2,"")</f>
        <v/>
      </c>
      <c r="K1841" s="13">
        <f>IF($G1841="正常",MIN($J1841,12),"")</f>
        <v/>
      </c>
      <c r="L1841" s="13">
        <f>IF($G1841="正常",MAX($J1841-12,0),"")</f>
        <v/>
      </c>
    </row>
    <row r="1842">
      <c r="A1842" s="8" t="inlineStr">
        <is>
          <t>周歧兰</t>
        </is>
      </c>
      <c r="B1842" s="8" t="inlineStr">
        <is>
          <t>8/12</t>
        </is>
      </c>
      <c r="C1842" s="8" t="inlineStr">
        <is>
          <t>三</t>
        </is>
      </c>
      <c r="D1842" s="8" t="inlineStr"/>
      <c r="E1842" s="9" t="n"/>
      <c r="F1842" s="9" t="n"/>
      <c r="G1842" s="10">
        <f>IF($E1842="","空卡",IF($F1842="","单卡","正常"))</f>
        <v/>
      </c>
      <c r="H1842" s="11">
        <f>IF($G1842="正常",ROUND(($F1842-$E1842)*1440,0),"")</f>
        <v/>
      </c>
      <c r="I1842" s="12">
        <f>IF($G1842="正常",$H1842/60,"")</f>
        <v/>
      </c>
      <c r="J1842" s="13">
        <f>IF($G1842="正常",ROUND($H1842/30,0)/2,"")</f>
        <v/>
      </c>
      <c r="K1842" s="13">
        <f>IF($G1842="正常",MIN($J1842,12),"")</f>
        <v/>
      </c>
      <c r="L1842" s="13">
        <f>IF($G1842="正常",MAX($J1842-12,0),"")</f>
        <v/>
      </c>
    </row>
    <row r="1843">
      <c r="A1843" s="8" t="inlineStr">
        <is>
          <t>周歧兰</t>
        </is>
      </c>
      <c r="B1843" s="8" t="inlineStr">
        <is>
          <t>8/13</t>
        </is>
      </c>
      <c r="C1843" s="8" t="inlineStr">
        <is>
          <t>四</t>
        </is>
      </c>
      <c r="D1843" s="8" t="inlineStr"/>
      <c r="E1843" s="9" t="n"/>
      <c r="F1843" s="9" t="n"/>
      <c r="G1843" s="10">
        <f>IF($E1843="","空卡",IF($F1843="","单卡","正常"))</f>
        <v/>
      </c>
      <c r="H1843" s="11">
        <f>IF($G1843="正常",ROUND(($F1843-$E1843)*1440,0),"")</f>
        <v/>
      </c>
      <c r="I1843" s="12">
        <f>IF($G1843="正常",$H1843/60,"")</f>
        <v/>
      </c>
      <c r="J1843" s="13">
        <f>IF($G1843="正常",ROUND($H1843/30,0)/2,"")</f>
        <v/>
      </c>
      <c r="K1843" s="13">
        <f>IF($G1843="正常",MIN($J1843,12),"")</f>
        <v/>
      </c>
      <c r="L1843" s="13">
        <f>IF($G1843="正常",MAX($J1843-12,0),"")</f>
        <v/>
      </c>
    </row>
    <row r="1844">
      <c r="A1844" s="8" t="inlineStr">
        <is>
          <t>周歧兰</t>
        </is>
      </c>
      <c r="B1844" s="8" t="inlineStr">
        <is>
          <t>8/14</t>
        </is>
      </c>
      <c r="C1844" s="8" t="inlineStr">
        <is>
          <t>五</t>
        </is>
      </c>
      <c r="D1844" s="8" t="inlineStr"/>
      <c r="E1844" s="9" t="n"/>
      <c r="F1844" s="9" t="n"/>
      <c r="G1844" s="10">
        <f>IF($E1844="","空卡",IF($F1844="","单卡","正常"))</f>
        <v/>
      </c>
      <c r="H1844" s="11">
        <f>IF($G1844="正常",ROUND(($F1844-$E1844)*1440,0),"")</f>
        <v/>
      </c>
      <c r="I1844" s="12">
        <f>IF($G1844="正常",$H1844/60,"")</f>
        <v/>
      </c>
      <c r="J1844" s="13">
        <f>IF($G1844="正常",ROUND($H1844/30,0)/2,"")</f>
        <v/>
      </c>
      <c r="K1844" s="13">
        <f>IF($G1844="正常",MIN($J1844,12),"")</f>
        <v/>
      </c>
      <c r="L1844" s="13">
        <f>IF($G1844="正常",MAX($J1844-12,0),"")</f>
        <v/>
      </c>
    </row>
    <row r="1845">
      <c r="A1845" s="3" t="inlineStr">
        <is>
          <t>周歧兰</t>
        </is>
      </c>
      <c r="B1845" s="3" t="inlineStr">
        <is>
          <t>8/15</t>
        </is>
      </c>
      <c r="C1845" s="3" t="inlineStr">
        <is>
          <t>六</t>
        </is>
      </c>
      <c r="D1845" s="3" t="inlineStr">
        <is>
          <t>17:19 19:07</t>
        </is>
      </c>
      <c r="E1845" s="4" t="n">
        <v>0.7215277777777778</v>
      </c>
      <c r="F1845" s="4" t="n">
        <v>0.7965277777777777</v>
      </c>
      <c r="G1845" s="3">
        <f>IF($E1845="","空卡",IF($F1845="","单卡","正常"))</f>
        <v/>
      </c>
      <c r="H1845" s="5">
        <f>IF($G1845="正常",ROUND(($F1845-$E1845)*1440,0),"")</f>
        <v/>
      </c>
      <c r="I1845" s="6">
        <f>IF($G1845="正常",$H1845/60,"")</f>
        <v/>
      </c>
      <c r="J1845" s="7">
        <f>IF($G1845="正常",ROUND($H1845/30,0)/2,"")</f>
        <v/>
      </c>
      <c r="K1845" s="7">
        <f>IF($G1845="正常",MIN($J1845,12),"")</f>
        <v/>
      </c>
      <c r="L1845" s="7">
        <f>IF($G1845="正常",MAX($J1845-12,0),"")</f>
        <v/>
      </c>
    </row>
    <row r="1846">
      <c r="A1846" s="8" t="inlineStr">
        <is>
          <t>周歧兰</t>
        </is>
      </c>
      <c r="B1846" s="8" t="inlineStr">
        <is>
          <t>8/16</t>
        </is>
      </c>
      <c r="C1846" s="8" t="inlineStr">
        <is>
          <t>日</t>
        </is>
      </c>
      <c r="D1846" s="8" t="inlineStr"/>
      <c r="E1846" s="9" t="n"/>
      <c r="F1846" s="9" t="n"/>
      <c r="G1846" s="10">
        <f>IF($E1846="","空卡",IF($F1846="","单卡","正常"))</f>
        <v/>
      </c>
      <c r="H1846" s="11">
        <f>IF($G1846="正常",ROUND(($F1846-$E1846)*1440,0),"")</f>
        <v/>
      </c>
      <c r="I1846" s="12">
        <f>IF($G1846="正常",$H1846/60,"")</f>
        <v/>
      </c>
      <c r="J1846" s="13">
        <f>IF($G1846="正常",ROUND($H1846/30,0)/2,"")</f>
        <v/>
      </c>
      <c r="K1846" s="13">
        <f>IF($G1846="正常",MIN($J1846,12),"")</f>
        <v/>
      </c>
      <c r="L1846" s="13">
        <f>IF($G1846="正常",MAX($J1846-12,0),"")</f>
        <v/>
      </c>
    </row>
    <row r="1847">
      <c r="A1847" s="3" t="inlineStr">
        <is>
          <t>周歧兰</t>
        </is>
      </c>
      <c r="B1847" s="3" t="inlineStr">
        <is>
          <t>8/17</t>
        </is>
      </c>
      <c r="C1847" s="3" t="inlineStr">
        <is>
          <t>一</t>
        </is>
      </c>
      <c r="D1847" s="3" t="inlineStr">
        <is>
          <t>09:21 19:57</t>
        </is>
      </c>
      <c r="E1847" s="4" t="n">
        <v>0.3895833333333333</v>
      </c>
      <c r="F1847" s="4" t="n">
        <v>0.83125</v>
      </c>
      <c r="G1847" s="3">
        <f>IF($E1847="","空卡",IF($F1847="","单卡","正常"))</f>
        <v/>
      </c>
      <c r="H1847" s="5">
        <f>IF($G1847="正常",ROUND(($F1847-$E1847)*1440,0),"")</f>
        <v/>
      </c>
      <c r="I1847" s="6">
        <f>IF($G1847="正常",$H1847/60,"")</f>
        <v/>
      </c>
      <c r="J1847" s="7">
        <f>IF($G1847="正常",ROUND($H1847/30,0)/2,"")</f>
        <v/>
      </c>
      <c r="K1847" s="7">
        <f>IF($G1847="正常",MIN($J1847,12),"")</f>
        <v/>
      </c>
      <c r="L1847" s="7">
        <f>IF($G1847="正常",MAX($J1847-12,0),"")</f>
        <v/>
      </c>
    </row>
    <row r="1848">
      <c r="A1848" s="8" t="inlineStr">
        <is>
          <t>周歧兰</t>
        </is>
      </c>
      <c r="B1848" s="8" t="inlineStr">
        <is>
          <t>8/18</t>
        </is>
      </c>
      <c r="C1848" s="8" t="inlineStr">
        <is>
          <t>二</t>
        </is>
      </c>
      <c r="D1848" s="8" t="inlineStr">
        <is>
          <t>07:51</t>
        </is>
      </c>
      <c r="E1848" s="9" t="n">
        <v>0.3270833333333333</v>
      </c>
      <c r="F1848" s="9" t="n"/>
      <c r="G1848" s="10">
        <f>IF($E1848="","空卡",IF($F1848="","单卡","正常"))</f>
        <v/>
      </c>
      <c r="H1848" s="11">
        <f>IF($G1848="正常",ROUND(($F1848-$E1848)*1440,0),"")</f>
        <v/>
      </c>
      <c r="I1848" s="12">
        <f>IF($G1848="正常",$H1848/60,"")</f>
        <v/>
      </c>
      <c r="J1848" s="13">
        <f>IF($G1848="正常",ROUND($H1848/30,0)/2,"")</f>
        <v/>
      </c>
      <c r="K1848" s="13">
        <f>IF($G1848="正常",MIN($J1848,12),"")</f>
        <v/>
      </c>
      <c r="L1848" s="13">
        <f>IF($G1848="正常",MAX($J1848-12,0),"")</f>
        <v/>
      </c>
    </row>
    <row r="1849">
      <c r="A1849" s="3" t="inlineStr">
        <is>
          <t>周歧兰</t>
        </is>
      </c>
      <c r="B1849" s="3" t="inlineStr">
        <is>
          <t>8/19</t>
        </is>
      </c>
      <c r="C1849" s="3" t="inlineStr">
        <is>
          <t>三</t>
        </is>
      </c>
      <c r="D1849" s="3" t="inlineStr">
        <is>
          <t>07:20 20:31</t>
        </is>
      </c>
      <c r="E1849" s="4" t="n">
        <v>0.3055555555555556</v>
      </c>
      <c r="F1849" s="4" t="n">
        <v>0.8548611111111111</v>
      </c>
      <c r="G1849" s="3">
        <f>IF($E1849="","空卡",IF($F1849="","单卡","正常"))</f>
        <v/>
      </c>
      <c r="H1849" s="5">
        <f>IF($G1849="正常",ROUND(($F1849-$E1849)*1440,0),"")</f>
        <v/>
      </c>
      <c r="I1849" s="6">
        <f>IF($G1849="正常",$H1849/60,"")</f>
        <v/>
      </c>
      <c r="J1849" s="7">
        <f>IF($G1849="正常",ROUND($H1849/30,0)/2,"")</f>
        <v/>
      </c>
      <c r="K1849" s="7">
        <f>IF($G1849="正常",MIN($J1849,12),"")</f>
        <v/>
      </c>
      <c r="L1849" s="7">
        <f>IF($G1849="正常",MAX($J1849-12,0),"")</f>
        <v/>
      </c>
    </row>
    <row r="1850">
      <c r="A1850" s="3" t="inlineStr">
        <is>
          <t>周歧兰</t>
        </is>
      </c>
      <c r="B1850" s="3" t="inlineStr">
        <is>
          <t>8/20</t>
        </is>
      </c>
      <c r="C1850" s="3" t="inlineStr">
        <is>
          <t>四</t>
        </is>
      </c>
      <c r="D1850" s="3" t="inlineStr">
        <is>
          <t>08:30 19:57</t>
        </is>
      </c>
      <c r="E1850" s="4" t="n">
        <v>0.3541666666666667</v>
      </c>
      <c r="F1850" s="4" t="n">
        <v>0.83125</v>
      </c>
      <c r="G1850" s="3">
        <f>IF($E1850="","空卡",IF($F1850="","单卡","正常"))</f>
        <v/>
      </c>
      <c r="H1850" s="5">
        <f>IF($G1850="正常",ROUND(($F1850-$E1850)*1440,0),"")</f>
        <v/>
      </c>
      <c r="I1850" s="6">
        <f>IF($G1850="正常",$H1850/60,"")</f>
        <v/>
      </c>
      <c r="J1850" s="7">
        <f>IF($G1850="正常",ROUND($H1850/30,0)/2,"")</f>
        <v/>
      </c>
      <c r="K1850" s="7">
        <f>IF($G1850="正常",MIN($J1850,12),"")</f>
        <v/>
      </c>
      <c r="L1850" s="7">
        <f>IF($G1850="正常",MAX($J1850-12,0),"")</f>
        <v/>
      </c>
    </row>
    <row r="1851">
      <c r="A1851" s="3" t="inlineStr">
        <is>
          <t>周歧兰</t>
        </is>
      </c>
      <c r="B1851" s="3" t="inlineStr">
        <is>
          <t>8/21</t>
        </is>
      </c>
      <c r="C1851" s="3" t="inlineStr">
        <is>
          <t>五</t>
        </is>
      </c>
      <c r="D1851" s="3" t="inlineStr">
        <is>
          <t>06:55 19:01</t>
        </is>
      </c>
      <c r="E1851" s="4" t="n">
        <v>0.2881944444444444</v>
      </c>
      <c r="F1851" s="4" t="n">
        <v>0.7923611111111111</v>
      </c>
      <c r="G1851" s="3">
        <f>IF($E1851="","空卡",IF($F1851="","单卡","正常"))</f>
        <v/>
      </c>
      <c r="H1851" s="5">
        <f>IF($G1851="正常",ROUND(($F1851-$E1851)*1440,0),"")</f>
        <v/>
      </c>
      <c r="I1851" s="6">
        <f>IF($G1851="正常",$H1851/60,"")</f>
        <v/>
      </c>
      <c r="J1851" s="7">
        <f>IF($G1851="正常",ROUND($H1851/30,0)/2,"")</f>
        <v/>
      </c>
      <c r="K1851" s="7">
        <f>IF($G1851="正常",MIN($J1851,12),"")</f>
        <v/>
      </c>
      <c r="L1851" s="7">
        <f>IF($G1851="正常",MAX($J1851-12,0),"")</f>
        <v/>
      </c>
    </row>
    <row r="1852">
      <c r="A1852" s="3" t="inlineStr">
        <is>
          <t>周歧兰</t>
        </is>
      </c>
      <c r="B1852" s="3" t="inlineStr">
        <is>
          <t>8/22</t>
        </is>
      </c>
      <c r="C1852" s="3" t="inlineStr">
        <is>
          <t>六</t>
        </is>
      </c>
      <c r="D1852" s="3" t="inlineStr">
        <is>
          <t>06:51 18:32</t>
        </is>
      </c>
      <c r="E1852" s="4" t="n">
        <v>0.2854166666666667</v>
      </c>
      <c r="F1852" s="4" t="n">
        <v>0.7722222222222223</v>
      </c>
      <c r="G1852" s="3">
        <f>IF($E1852="","空卡",IF($F1852="","单卡","正常"))</f>
        <v/>
      </c>
      <c r="H1852" s="5">
        <f>IF($G1852="正常",ROUND(($F1852-$E1852)*1440,0),"")</f>
        <v/>
      </c>
      <c r="I1852" s="6">
        <f>IF($G1852="正常",$H1852/60,"")</f>
        <v/>
      </c>
      <c r="J1852" s="7">
        <f>IF($G1852="正常",ROUND($H1852/30,0)/2,"")</f>
        <v/>
      </c>
      <c r="K1852" s="7">
        <f>IF($G1852="正常",MIN($J1852,12),"")</f>
        <v/>
      </c>
      <c r="L1852" s="7">
        <f>IF($G1852="正常",MAX($J1852-12,0),"")</f>
        <v/>
      </c>
    </row>
    <row r="1853">
      <c r="A1853" s="8" t="inlineStr">
        <is>
          <t>周歧兰</t>
        </is>
      </c>
      <c r="B1853" s="8" t="inlineStr">
        <is>
          <t>8/23</t>
        </is>
      </c>
      <c r="C1853" s="8" t="inlineStr">
        <is>
          <t>日</t>
        </is>
      </c>
      <c r="D1853" s="8" t="inlineStr"/>
      <c r="E1853" s="9" t="n"/>
      <c r="F1853" s="9" t="n"/>
      <c r="G1853" s="10">
        <f>IF($E1853="","空卡",IF($F1853="","单卡","正常"))</f>
        <v/>
      </c>
      <c r="H1853" s="11">
        <f>IF($G1853="正常",ROUND(($F1853-$E1853)*1440,0),"")</f>
        <v/>
      </c>
      <c r="I1853" s="12">
        <f>IF($G1853="正常",$H1853/60,"")</f>
        <v/>
      </c>
      <c r="J1853" s="13">
        <f>IF($G1853="正常",ROUND($H1853/30,0)/2,"")</f>
        <v/>
      </c>
      <c r="K1853" s="13">
        <f>IF($G1853="正常",MIN($J1853,12),"")</f>
        <v/>
      </c>
      <c r="L1853" s="13">
        <f>IF($G1853="正常",MAX($J1853-12,0),"")</f>
        <v/>
      </c>
    </row>
    <row r="1854">
      <c r="A1854" s="3" t="inlineStr">
        <is>
          <t>周歧兰</t>
        </is>
      </c>
      <c r="B1854" s="3" t="inlineStr">
        <is>
          <t>8/24</t>
        </is>
      </c>
      <c r="C1854" s="3" t="inlineStr">
        <is>
          <t>一</t>
        </is>
      </c>
      <c r="D1854" s="3" t="inlineStr">
        <is>
          <t>06:51 16:36</t>
        </is>
      </c>
      <c r="E1854" s="4" t="n">
        <v>0.2854166666666667</v>
      </c>
      <c r="F1854" s="4" t="n">
        <v>0.6916666666666667</v>
      </c>
      <c r="G1854" s="3">
        <f>IF($E1854="","空卡",IF($F1854="","单卡","正常"))</f>
        <v/>
      </c>
      <c r="H1854" s="5">
        <f>IF($G1854="正常",ROUND(($F1854-$E1854)*1440,0),"")</f>
        <v/>
      </c>
      <c r="I1854" s="6">
        <f>IF($G1854="正常",$H1854/60,"")</f>
        <v/>
      </c>
      <c r="J1854" s="7">
        <f>IF($G1854="正常",ROUND($H1854/30,0)/2,"")</f>
        <v/>
      </c>
      <c r="K1854" s="7">
        <f>IF($G1854="正常",MIN($J1854,12),"")</f>
        <v/>
      </c>
      <c r="L1854" s="7">
        <f>IF($G1854="正常",MAX($J1854-12,0),"")</f>
        <v/>
      </c>
    </row>
    <row r="1855">
      <c r="A1855" s="8" t="inlineStr">
        <is>
          <t>周歧兰</t>
        </is>
      </c>
      <c r="B1855" s="8" t="inlineStr">
        <is>
          <t>8/25</t>
        </is>
      </c>
      <c r="C1855" s="8" t="inlineStr">
        <is>
          <t>二</t>
        </is>
      </c>
      <c r="D1855" s="8" t="inlineStr"/>
      <c r="E1855" s="9" t="n"/>
      <c r="F1855" s="9" t="n"/>
      <c r="G1855" s="10">
        <f>IF($E1855="","空卡",IF($F1855="","单卡","正常"))</f>
        <v/>
      </c>
      <c r="H1855" s="11">
        <f>IF($G1855="正常",ROUND(($F1855-$E1855)*1440,0),"")</f>
        <v/>
      </c>
      <c r="I1855" s="12">
        <f>IF($G1855="正常",$H1855/60,"")</f>
        <v/>
      </c>
      <c r="J1855" s="13">
        <f>IF($G1855="正常",ROUND($H1855/30,0)/2,"")</f>
        <v/>
      </c>
      <c r="K1855" s="13">
        <f>IF($G1855="正常",MIN($J1855,12),"")</f>
        <v/>
      </c>
      <c r="L1855" s="13">
        <f>IF($G1855="正常",MAX($J1855-12,0),"")</f>
        <v/>
      </c>
    </row>
    <row r="1856">
      <c r="A1856" s="3" t="inlineStr">
        <is>
          <t>周歧兰</t>
        </is>
      </c>
      <c r="B1856" s="3" t="inlineStr">
        <is>
          <t>8/26</t>
        </is>
      </c>
      <c r="C1856" s="3" t="inlineStr">
        <is>
          <t>三</t>
        </is>
      </c>
      <c r="D1856" s="3" t="inlineStr">
        <is>
          <t>07:53 18:55</t>
        </is>
      </c>
      <c r="E1856" s="4" t="n">
        <v>0.3284722222222222</v>
      </c>
      <c r="F1856" s="4" t="n">
        <v>0.7881944444444444</v>
      </c>
      <c r="G1856" s="3">
        <f>IF($E1856="","空卡",IF($F1856="","单卡","正常"))</f>
        <v/>
      </c>
      <c r="H1856" s="5">
        <f>IF($G1856="正常",ROUND(($F1856-$E1856)*1440,0),"")</f>
        <v/>
      </c>
      <c r="I1856" s="6">
        <f>IF($G1856="正常",$H1856/60,"")</f>
        <v/>
      </c>
      <c r="J1856" s="7">
        <f>IF($G1856="正常",ROUND($H1856/30,0)/2,"")</f>
        <v/>
      </c>
      <c r="K1856" s="7">
        <f>IF($G1856="正常",MIN($J1856,12),"")</f>
        <v/>
      </c>
      <c r="L1856" s="7">
        <f>IF($G1856="正常",MAX($J1856-12,0),"")</f>
        <v/>
      </c>
    </row>
    <row r="1857">
      <c r="A1857" s="3" t="inlineStr">
        <is>
          <t>周歧兰</t>
        </is>
      </c>
      <c r="B1857" s="3" t="inlineStr">
        <is>
          <t>8/27</t>
        </is>
      </c>
      <c r="C1857" s="3" t="inlineStr">
        <is>
          <t>四</t>
        </is>
      </c>
      <c r="D1857" s="3" t="inlineStr">
        <is>
          <t>07:50 19:06</t>
        </is>
      </c>
      <c r="E1857" s="4" t="n">
        <v>0.3263888888888889</v>
      </c>
      <c r="F1857" s="4" t="n">
        <v>0.7958333333333333</v>
      </c>
      <c r="G1857" s="3">
        <f>IF($E1857="","空卡",IF($F1857="","单卡","正常"))</f>
        <v/>
      </c>
      <c r="H1857" s="5">
        <f>IF($G1857="正常",ROUND(($F1857-$E1857)*1440,0),"")</f>
        <v/>
      </c>
      <c r="I1857" s="6">
        <f>IF($G1857="正常",$H1857/60,"")</f>
        <v/>
      </c>
      <c r="J1857" s="7">
        <f>IF($G1857="正常",ROUND($H1857/30,0)/2,"")</f>
        <v/>
      </c>
      <c r="K1857" s="7">
        <f>IF($G1857="正常",MIN($J1857,12),"")</f>
        <v/>
      </c>
      <c r="L1857" s="7">
        <f>IF($G1857="正常",MAX($J1857-12,0),"")</f>
        <v/>
      </c>
    </row>
    <row r="1858">
      <c r="A1858" s="3" t="inlineStr">
        <is>
          <t>周歧兰</t>
        </is>
      </c>
      <c r="B1858" s="3" t="inlineStr">
        <is>
          <t>8/28</t>
        </is>
      </c>
      <c r="C1858" s="3" t="inlineStr">
        <is>
          <t>五</t>
        </is>
      </c>
      <c r="D1858" s="3" t="inlineStr">
        <is>
          <t>07:56 18:29</t>
        </is>
      </c>
      <c r="E1858" s="4" t="n">
        <v>0.3305555555555555</v>
      </c>
      <c r="F1858" s="4" t="n">
        <v>0.7701388888888889</v>
      </c>
      <c r="G1858" s="3">
        <f>IF($E1858="","空卡",IF($F1858="","单卡","正常"))</f>
        <v/>
      </c>
      <c r="H1858" s="5">
        <f>IF($G1858="正常",ROUND(($F1858-$E1858)*1440,0),"")</f>
        <v/>
      </c>
      <c r="I1858" s="6">
        <f>IF($G1858="正常",$H1858/60,"")</f>
        <v/>
      </c>
      <c r="J1858" s="7">
        <f>IF($G1858="正常",ROUND($H1858/30,0)/2,"")</f>
        <v/>
      </c>
      <c r="K1858" s="7">
        <f>IF($G1858="正常",MIN($J1858,12),"")</f>
        <v/>
      </c>
      <c r="L1858" s="7">
        <f>IF($G1858="正常",MAX($J1858-12,0),"")</f>
        <v/>
      </c>
    </row>
    <row r="1859">
      <c r="A1859" s="3" t="inlineStr">
        <is>
          <t>周歧兰</t>
        </is>
      </c>
      <c r="B1859" s="3" t="inlineStr">
        <is>
          <t>8/29</t>
        </is>
      </c>
      <c r="C1859" s="3" t="inlineStr">
        <is>
          <t>六</t>
        </is>
      </c>
      <c r="D1859" s="3" t="inlineStr">
        <is>
          <t>07:50 21:59</t>
        </is>
      </c>
      <c r="E1859" s="4" t="n">
        <v>0.3263888888888889</v>
      </c>
      <c r="F1859" s="4" t="n">
        <v>0.9159722222222222</v>
      </c>
      <c r="G1859" s="3">
        <f>IF($E1859="","空卡",IF($F1859="","单卡","正常"))</f>
        <v/>
      </c>
      <c r="H1859" s="5">
        <f>IF($G1859="正常",ROUND(($F1859-$E1859)*1440,0),"")</f>
        <v/>
      </c>
      <c r="I1859" s="6">
        <f>IF($G1859="正常",$H1859/60,"")</f>
        <v/>
      </c>
      <c r="J1859" s="7">
        <f>IF($G1859="正常",ROUND($H1859/30,0)/2,"")</f>
        <v/>
      </c>
      <c r="K1859" s="7">
        <f>IF($G1859="正常",MIN($J1859,12),"")</f>
        <v/>
      </c>
      <c r="L1859" s="7">
        <f>IF($G1859="正常",MAX($J1859-12,0),"")</f>
        <v/>
      </c>
    </row>
    <row r="1860">
      <c r="A1860" s="3" t="inlineStr">
        <is>
          <t>周歧兰</t>
        </is>
      </c>
      <c r="B1860" s="3" t="inlineStr">
        <is>
          <t>8/30</t>
        </is>
      </c>
      <c r="C1860" s="3" t="inlineStr">
        <is>
          <t>日</t>
        </is>
      </c>
      <c r="D1860" s="3" t="inlineStr">
        <is>
          <t>07:54 18:42</t>
        </is>
      </c>
      <c r="E1860" s="4" t="n">
        <v>0.3291666666666667</v>
      </c>
      <c r="F1860" s="4" t="n">
        <v>0.7791666666666667</v>
      </c>
      <c r="G1860" s="3">
        <f>IF($E1860="","空卡",IF($F1860="","单卡","正常"))</f>
        <v/>
      </c>
      <c r="H1860" s="5">
        <f>IF($G1860="正常",ROUND(($F1860-$E1860)*1440,0),"")</f>
        <v/>
      </c>
      <c r="I1860" s="6">
        <f>IF($G1860="正常",$H1860/60,"")</f>
        <v/>
      </c>
      <c r="J1860" s="7">
        <f>IF($G1860="正常",ROUND($H1860/30,0)/2,"")</f>
        <v/>
      </c>
      <c r="K1860" s="7">
        <f>IF($G1860="正常",MIN($J1860,12),"")</f>
        <v/>
      </c>
      <c r="L1860" s="7">
        <f>IF($G1860="正常",MAX($J1860-12,0),"")</f>
        <v/>
      </c>
    </row>
    <row r="1861">
      <c r="A1861" s="8" t="inlineStr">
        <is>
          <t>周歧兰</t>
        </is>
      </c>
      <c r="B1861" s="8" t="inlineStr">
        <is>
          <t>8/31</t>
        </is>
      </c>
      <c r="C1861" s="8" t="inlineStr">
        <is>
          <t>一</t>
        </is>
      </c>
      <c r="D1861" s="8" t="inlineStr"/>
      <c r="E1861" s="9" t="n"/>
      <c r="F1861" s="9" t="n"/>
      <c r="G1861" s="10">
        <f>IF($E1861="","空卡",IF($F1861="","单卡","正常"))</f>
        <v/>
      </c>
      <c r="H1861" s="11">
        <f>IF($G1861="正常",ROUND(($F1861-$E1861)*1440,0),"")</f>
        <v/>
      </c>
      <c r="I1861" s="12">
        <f>IF($G1861="正常",$H1861/60,"")</f>
        <v/>
      </c>
      <c r="J1861" s="13">
        <f>IF($G1861="正常",ROUND($H1861/30,0)/2,"")</f>
        <v/>
      </c>
      <c r="K1861" s="13">
        <f>IF($G1861="正常",MIN($J1861,12),"")</f>
        <v/>
      </c>
      <c r="L1861" s="13">
        <f>IF($G1861="正常",MAX($J1861-12,0),"")</f>
        <v/>
      </c>
    </row>
    <row r="1862">
      <c r="A1862" s="8" t="inlineStr">
        <is>
          <t>黎应菊</t>
        </is>
      </c>
      <c r="B1862" s="8" t="inlineStr">
        <is>
          <t>8/1</t>
        </is>
      </c>
      <c r="C1862" s="8" t="inlineStr">
        <is>
          <t>六</t>
        </is>
      </c>
      <c r="D1862" s="8" t="inlineStr"/>
      <c r="E1862" s="9" t="n"/>
      <c r="F1862" s="9" t="n"/>
      <c r="G1862" s="10">
        <f>IF($E1862="","空卡",IF($F1862="","单卡","正常"))</f>
        <v/>
      </c>
      <c r="H1862" s="11">
        <f>IF($G1862="正常",ROUND(($F1862-$E1862)*1440,0),"")</f>
        <v/>
      </c>
      <c r="I1862" s="12">
        <f>IF($G1862="正常",$H1862/60,"")</f>
        <v/>
      </c>
      <c r="J1862" s="13">
        <f>IF($G1862="正常",ROUND($H1862/30,0)/2,"")</f>
        <v/>
      </c>
      <c r="K1862" s="13">
        <f>IF($G1862="正常",MIN($J1862,12),"")</f>
        <v/>
      </c>
      <c r="L1862" s="13">
        <f>IF($G1862="正常",MAX($J1862-12,0),"")</f>
        <v/>
      </c>
    </row>
    <row r="1863">
      <c r="A1863" s="8" t="inlineStr">
        <is>
          <t>黎应菊</t>
        </is>
      </c>
      <c r="B1863" s="8" t="inlineStr">
        <is>
          <t>8/2</t>
        </is>
      </c>
      <c r="C1863" s="8" t="inlineStr">
        <is>
          <t>日</t>
        </is>
      </c>
      <c r="D1863" s="8" t="inlineStr"/>
      <c r="E1863" s="9" t="n"/>
      <c r="F1863" s="9" t="n"/>
      <c r="G1863" s="10">
        <f>IF($E1863="","空卡",IF($F1863="","单卡","正常"))</f>
        <v/>
      </c>
      <c r="H1863" s="11">
        <f>IF($G1863="正常",ROUND(($F1863-$E1863)*1440,0),"")</f>
        <v/>
      </c>
      <c r="I1863" s="12">
        <f>IF($G1863="正常",$H1863/60,"")</f>
        <v/>
      </c>
      <c r="J1863" s="13">
        <f>IF($G1863="正常",ROUND($H1863/30,0)/2,"")</f>
        <v/>
      </c>
      <c r="K1863" s="13">
        <f>IF($G1863="正常",MIN($J1863,12),"")</f>
        <v/>
      </c>
      <c r="L1863" s="13">
        <f>IF($G1863="正常",MAX($J1863-12,0),"")</f>
        <v/>
      </c>
    </row>
    <row r="1864">
      <c r="A1864" s="8" t="inlineStr">
        <is>
          <t>黎应菊</t>
        </is>
      </c>
      <c r="B1864" s="8" t="inlineStr">
        <is>
          <t>8/3</t>
        </is>
      </c>
      <c r="C1864" s="8" t="inlineStr">
        <is>
          <t>一</t>
        </is>
      </c>
      <c r="D1864" s="8" t="inlineStr"/>
      <c r="E1864" s="9" t="n"/>
      <c r="F1864" s="9" t="n"/>
      <c r="G1864" s="10">
        <f>IF($E1864="","空卡",IF($F1864="","单卡","正常"))</f>
        <v/>
      </c>
      <c r="H1864" s="11">
        <f>IF($G1864="正常",ROUND(($F1864-$E1864)*1440,0),"")</f>
        <v/>
      </c>
      <c r="I1864" s="12">
        <f>IF($G1864="正常",$H1864/60,"")</f>
        <v/>
      </c>
      <c r="J1864" s="13">
        <f>IF($G1864="正常",ROUND($H1864/30,0)/2,"")</f>
        <v/>
      </c>
      <c r="K1864" s="13">
        <f>IF($G1864="正常",MIN($J1864,12),"")</f>
        <v/>
      </c>
      <c r="L1864" s="13">
        <f>IF($G1864="正常",MAX($J1864-12,0),"")</f>
        <v/>
      </c>
    </row>
    <row r="1865">
      <c r="A1865" s="8" t="inlineStr">
        <is>
          <t>黎应菊</t>
        </is>
      </c>
      <c r="B1865" s="8" t="inlineStr">
        <is>
          <t>8/4</t>
        </is>
      </c>
      <c r="C1865" s="8" t="inlineStr">
        <is>
          <t>二</t>
        </is>
      </c>
      <c r="D1865" s="8" t="inlineStr"/>
      <c r="E1865" s="9" t="n"/>
      <c r="F1865" s="9" t="n"/>
      <c r="G1865" s="10">
        <f>IF($E1865="","空卡",IF($F1865="","单卡","正常"))</f>
        <v/>
      </c>
      <c r="H1865" s="11">
        <f>IF($G1865="正常",ROUND(($F1865-$E1865)*1440,0),"")</f>
        <v/>
      </c>
      <c r="I1865" s="12">
        <f>IF($G1865="正常",$H1865/60,"")</f>
        <v/>
      </c>
      <c r="J1865" s="13">
        <f>IF($G1865="正常",ROUND($H1865/30,0)/2,"")</f>
        <v/>
      </c>
      <c r="K1865" s="13">
        <f>IF($G1865="正常",MIN($J1865,12),"")</f>
        <v/>
      </c>
      <c r="L1865" s="13">
        <f>IF($G1865="正常",MAX($J1865-12,0),"")</f>
        <v/>
      </c>
    </row>
    <row r="1866">
      <c r="A1866" s="8" t="inlineStr">
        <is>
          <t>黎应菊</t>
        </is>
      </c>
      <c r="B1866" s="8" t="inlineStr">
        <is>
          <t>8/5</t>
        </is>
      </c>
      <c r="C1866" s="8" t="inlineStr">
        <is>
          <t>三</t>
        </is>
      </c>
      <c r="D1866" s="8" t="inlineStr"/>
      <c r="E1866" s="9" t="n"/>
      <c r="F1866" s="9" t="n"/>
      <c r="G1866" s="10">
        <f>IF($E1866="","空卡",IF($F1866="","单卡","正常"))</f>
        <v/>
      </c>
      <c r="H1866" s="11">
        <f>IF($G1866="正常",ROUND(($F1866-$E1866)*1440,0),"")</f>
        <v/>
      </c>
      <c r="I1866" s="12">
        <f>IF($G1866="正常",$H1866/60,"")</f>
        <v/>
      </c>
      <c r="J1866" s="13">
        <f>IF($G1866="正常",ROUND($H1866/30,0)/2,"")</f>
        <v/>
      </c>
      <c r="K1866" s="13">
        <f>IF($G1866="正常",MIN($J1866,12),"")</f>
        <v/>
      </c>
      <c r="L1866" s="13">
        <f>IF($G1866="正常",MAX($J1866-12,0),"")</f>
        <v/>
      </c>
    </row>
    <row r="1867">
      <c r="A1867" s="3" t="inlineStr">
        <is>
          <t>黎应菊</t>
        </is>
      </c>
      <c r="B1867" s="3" t="inlineStr">
        <is>
          <t>8/6</t>
        </is>
      </c>
      <c r="C1867" s="3" t="inlineStr">
        <is>
          <t>四</t>
        </is>
      </c>
      <c r="D1867" s="3" t="inlineStr">
        <is>
          <t>12:21 19:01</t>
        </is>
      </c>
      <c r="E1867" s="4" t="n">
        <v>0.5145833333333333</v>
      </c>
      <c r="F1867" s="4" t="n">
        <v>0.7923611111111111</v>
      </c>
      <c r="G1867" s="3">
        <f>IF($E1867="","空卡",IF($F1867="","单卡","正常"))</f>
        <v/>
      </c>
      <c r="H1867" s="5">
        <f>IF($G1867="正常",ROUND(($F1867-$E1867)*1440,0),"")</f>
        <v/>
      </c>
      <c r="I1867" s="6">
        <f>IF($G1867="正常",$H1867/60,"")</f>
        <v/>
      </c>
      <c r="J1867" s="7">
        <f>IF($G1867="正常",ROUND($H1867/30,0)/2,"")</f>
        <v/>
      </c>
      <c r="K1867" s="7">
        <f>IF($G1867="正常",MIN($J1867,12),"")</f>
        <v/>
      </c>
      <c r="L1867" s="7">
        <f>IF($G1867="正常",MAX($J1867-12,0),"")</f>
        <v/>
      </c>
    </row>
    <row r="1868">
      <c r="A1868" s="3" t="inlineStr">
        <is>
          <t>黎应菊</t>
        </is>
      </c>
      <c r="B1868" s="3" t="inlineStr">
        <is>
          <t>8/7</t>
        </is>
      </c>
      <c r="C1868" s="3" t="inlineStr">
        <is>
          <t>五</t>
        </is>
      </c>
      <c r="D1868" s="3" t="inlineStr">
        <is>
          <t>08:01 19:29</t>
        </is>
      </c>
      <c r="E1868" s="4" t="n">
        <v>0.3340277777777778</v>
      </c>
      <c r="F1868" s="4" t="n">
        <v>0.8118055555555556</v>
      </c>
      <c r="G1868" s="3">
        <f>IF($E1868="","空卡",IF($F1868="","单卡","正常"))</f>
        <v/>
      </c>
      <c r="H1868" s="5">
        <f>IF($G1868="正常",ROUND(($F1868-$E1868)*1440,0),"")</f>
        <v/>
      </c>
      <c r="I1868" s="6">
        <f>IF($G1868="正常",$H1868/60,"")</f>
        <v/>
      </c>
      <c r="J1868" s="7">
        <f>IF($G1868="正常",ROUND($H1868/30,0)/2,"")</f>
        <v/>
      </c>
      <c r="K1868" s="7">
        <f>IF($G1868="正常",MIN($J1868,12),"")</f>
        <v/>
      </c>
      <c r="L1868" s="7">
        <f>IF($G1868="正常",MAX($J1868-12,0),"")</f>
        <v/>
      </c>
    </row>
    <row r="1869">
      <c r="A1869" s="3" t="inlineStr">
        <is>
          <t>黎应菊</t>
        </is>
      </c>
      <c r="B1869" s="3" t="inlineStr">
        <is>
          <t>8/8</t>
        </is>
      </c>
      <c r="C1869" s="3" t="inlineStr">
        <is>
          <t>六</t>
        </is>
      </c>
      <c r="D1869" s="3" t="inlineStr">
        <is>
          <t>08:17 19:37</t>
        </is>
      </c>
      <c r="E1869" s="4" t="n">
        <v>0.3451388888888889</v>
      </c>
      <c r="F1869" s="4" t="n">
        <v>0.8173611111111111</v>
      </c>
      <c r="G1869" s="3">
        <f>IF($E1869="","空卡",IF($F1869="","单卡","正常"))</f>
        <v/>
      </c>
      <c r="H1869" s="5">
        <f>IF($G1869="正常",ROUND(($F1869-$E1869)*1440,0),"")</f>
        <v/>
      </c>
      <c r="I1869" s="6">
        <f>IF($G1869="正常",$H1869/60,"")</f>
        <v/>
      </c>
      <c r="J1869" s="7">
        <f>IF($G1869="正常",ROUND($H1869/30,0)/2,"")</f>
        <v/>
      </c>
      <c r="K1869" s="7">
        <f>IF($G1869="正常",MIN($J1869,12),"")</f>
        <v/>
      </c>
      <c r="L1869" s="7">
        <f>IF($G1869="正常",MAX($J1869-12,0),"")</f>
        <v/>
      </c>
    </row>
    <row r="1870">
      <c r="A1870" s="8" t="inlineStr">
        <is>
          <t>黎应菊</t>
        </is>
      </c>
      <c r="B1870" s="8" t="inlineStr">
        <is>
          <t>8/9</t>
        </is>
      </c>
      <c r="C1870" s="8" t="inlineStr">
        <is>
          <t>日</t>
        </is>
      </c>
      <c r="D1870" s="8" t="inlineStr"/>
      <c r="E1870" s="9" t="n"/>
      <c r="F1870" s="9" t="n"/>
      <c r="G1870" s="10">
        <f>IF($E1870="","空卡",IF($F1870="","单卡","正常"))</f>
        <v/>
      </c>
      <c r="H1870" s="11">
        <f>IF($G1870="正常",ROUND(($F1870-$E1870)*1440,0),"")</f>
        <v/>
      </c>
      <c r="I1870" s="12">
        <f>IF($G1870="正常",$H1870/60,"")</f>
        <v/>
      </c>
      <c r="J1870" s="13">
        <f>IF($G1870="正常",ROUND($H1870/30,0)/2,"")</f>
        <v/>
      </c>
      <c r="K1870" s="13">
        <f>IF($G1870="正常",MIN($J1870,12),"")</f>
        <v/>
      </c>
      <c r="L1870" s="13">
        <f>IF($G1870="正常",MAX($J1870-12,0),"")</f>
        <v/>
      </c>
    </row>
    <row r="1871">
      <c r="A1871" s="3" t="inlineStr">
        <is>
          <t>黎应菊</t>
        </is>
      </c>
      <c r="B1871" s="3" t="inlineStr">
        <is>
          <t>8/10</t>
        </is>
      </c>
      <c r="C1871" s="3" t="inlineStr">
        <is>
          <t>一</t>
        </is>
      </c>
      <c r="D1871" s="3" t="inlineStr">
        <is>
          <t>08:21 19:56</t>
        </is>
      </c>
      <c r="E1871" s="4" t="n">
        <v>0.3479166666666667</v>
      </c>
      <c r="F1871" s="4" t="n">
        <v>0.8305555555555556</v>
      </c>
      <c r="G1871" s="3">
        <f>IF($E1871="","空卡",IF($F1871="","单卡","正常"))</f>
        <v/>
      </c>
      <c r="H1871" s="5">
        <f>IF($G1871="正常",ROUND(($F1871-$E1871)*1440,0),"")</f>
        <v/>
      </c>
      <c r="I1871" s="6">
        <f>IF($G1871="正常",$H1871/60,"")</f>
        <v/>
      </c>
      <c r="J1871" s="7">
        <f>IF($G1871="正常",ROUND($H1871/30,0)/2,"")</f>
        <v/>
      </c>
      <c r="K1871" s="7">
        <f>IF($G1871="正常",MIN($J1871,12),"")</f>
        <v/>
      </c>
      <c r="L1871" s="7">
        <f>IF($G1871="正常",MAX($J1871-12,0),"")</f>
        <v/>
      </c>
    </row>
    <row r="1872">
      <c r="A1872" s="3" t="inlineStr">
        <is>
          <t>黎应菊</t>
        </is>
      </c>
      <c r="B1872" s="3" t="inlineStr">
        <is>
          <t>8/11</t>
        </is>
      </c>
      <c r="C1872" s="3" t="inlineStr">
        <is>
          <t>二</t>
        </is>
      </c>
      <c r="D1872" s="3" t="inlineStr">
        <is>
          <t>08:16 18:06</t>
        </is>
      </c>
      <c r="E1872" s="4" t="n">
        <v>0.3444444444444444</v>
      </c>
      <c r="F1872" s="4" t="n">
        <v>0.7541666666666667</v>
      </c>
      <c r="G1872" s="3">
        <f>IF($E1872="","空卡",IF($F1872="","单卡","正常"))</f>
        <v/>
      </c>
      <c r="H1872" s="5">
        <f>IF($G1872="正常",ROUND(($F1872-$E1872)*1440,0),"")</f>
        <v/>
      </c>
      <c r="I1872" s="6">
        <f>IF($G1872="正常",$H1872/60,"")</f>
        <v/>
      </c>
      <c r="J1872" s="7">
        <f>IF($G1872="正常",ROUND($H1872/30,0)/2,"")</f>
        <v/>
      </c>
      <c r="K1872" s="7">
        <f>IF($G1872="正常",MIN($J1872,12),"")</f>
        <v/>
      </c>
      <c r="L1872" s="7">
        <f>IF($G1872="正常",MAX($J1872-12,0),"")</f>
        <v/>
      </c>
    </row>
    <row r="1873">
      <c r="A1873" s="8" t="inlineStr">
        <is>
          <t>黎应菊</t>
        </is>
      </c>
      <c r="B1873" s="8" t="inlineStr">
        <is>
          <t>8/12</t>
        </is>
      </c>
      <c r="C1873" s="8" t="inlineStr">
        <is>
          <t>三</t>
        </is>
      </c>
      <c r="D1873" s="8" t="inlineStr"/>
      <c r="E1873" s="9" t="n"/>
      <c r="F1873" s="9" t="n"/>
      <c r="G1873" s="10">
        <f>IF($E1873="","空卡",IF($F1873="","单卡","正常"))</f>
        <v/>
      </c>
      <c r="H1873" s="11">
        <f>IF($G1873="正常",ROUND(($F1873-$E1873)*1440,0),"")</f>
        <v/>
      </c>
      <c r="I1873" s="12">
        <f>IF($G1873="正常",$H1873/60,"")</f>
        <v/>
      </c>
      <c r="J1873" s="13">
        <f>IF($G1873="正常",ROUND($H1873/30,0)/2,"")</f>
        <v/>
      </c>
      <c r="K1873" s="13">
        <f>IF($G1873="正常",MIN($J1873,12),"")</f>
        <v/>
      </c>
      <c r="L1873" s="13">
        <f>IF($G1873="正常",MAX($J1873-12,0),"")</f>
        <v/>
      </c>
    </row>
    <row r="1874">
      <c r="A1874" s="8" t="inlineStr">
        <is>
          <t>黎应菊</t>
        </is>
      </c>
      <c r="B1874" s="8" t="inlineStr">
        <is>
          <t>8/13</t>
        </is>
      </c>
      <c r="C1874" s="8" t="inlineStr">
        <is>
          <t>四</t>
        </is>
      </c>
      <c r="D1874" s="8" t="inlineStr"/>
      <c r="E1874" s="9" t="n"/>
      <c r="F1874" s="9" t="n"/>
      <c r="G1874" s="10">
        <f>IF($E1874="","空卡",IF($F1874="","单卡","正常"))</f>
        <v/>
      </c>
      <c r="H1874" s="11">
        <f>IF($G1874="正常",ROUND(($F1874-$E1874)*1440,0),"")</f>
        <v/>
      </c>
      <c r="I1874" s="12">
        <f>IF($G1874="正常",$H1874/60,"")</f>
        <v/>
      </c>
      <c r="J1874" s="13">
        <f>IF($G1874="正常",ROUND($H1874/30,0)/2,"")</f>
        <v/>
      </c>
      <c r="K1874" s="13">
        <f>IF($G1874="正常",MIN($J1874,12),"")</f>
        <v/>
      </c>
      <c r="L1874" s="13">
        <f>IF($G1874="正常",MAX($J1874-12,0),"")</f>
        <v/>
      </c>
    </row>
    <row r="1875">
      <c r="A1875" s="8" t="inlineStr">
        <is>
          <t>黎应菊</t>
        </is>
      </c>
      <c r="B1875" s="8" t="inlineStr">
        <is>
          <t>8/14</t>
        </is>
      </c>
      <c r="C1875" s="8" t="inlineStr">
        <is>
          <t>五</t>
        </is>
      </c>
      <c r="D1875" s="8" t="inlineStr"/>
      <c r="E1875" s="9" t="n"/>
      <c r="F1875" s="9" t="n"/>
      <c r="G1875" s="10">
        <f>IF($E1875="","空卡",IF($F1875="","单卡","正常"))</f>
        <v/>
      </c>
      <c r="H1875" s="11">
        <f>IF($G1875="正常",ROUND(($F1875-$E1875)*1440,0),"")</f>
        <v/>
      </c>
      <c r="I1875" s="12">
        <f>IF($G1875="正常",$H1875/60,"")</f>
        <v/>
      </c>
      <c r="J1875" s="13">
        <f>IF($G1875="正常",ROUND($H1875/30,0)/2,"")</f>
        <v/>
      </c>
      <c r="K1875" s="13">
        <f>IF($G1875="正常",MIN($J1875,12),"")</f>
        <v/>
      </c>
      <c r="L1875" s="13">
        <f>IF($G1875="正常",MAX($J1875-12,0),"")</f>
        <v/>
      </c>
    </row>
    <row r="1876">
      <c r="A1876" s="8" t="inlineStr">
        <is>
          <t>黎应菊</t>
        </is>
      </c>
      <c r="B1876" s="8" t="inlineStr">
        <is>
          <t>8/15</t>
        </is>
      </c>
      <c r="C1876" s="8" t="inlineStr">
        <is>
          <t>六</t>
        </is>
      </c>
      <c r="D1876" s="8" t="inlineStr"/>
      <c r="E1876" s="9" t="n"/>
      <c r="F1876" s="9" t="n"/>
      <c r="G1876" s="10">
        <f>IF($E1876="","空卡",IF($F1876="","单卡","正常"))</f>
        <v/>
      </c>
      <c r="H1876" s="11">
        <f>IF($G1876="正常",ROUND(($F1876-$E1876)*1440,0),"")</f>
        <v/>
      </c>
      <c r="I1876" s="12">
        <f>IF($G1876="正常",$H1876/60,"")</f>
        <v/>
      </c>
      <c r="J1876" s="13">
        <f>IF($G1876="正常",ROUND($H1876/30,0)/2,"")</f>
        <v/>
      </c>
      <c r="K1876" s="13">
        <f>IF($G1876="正常",MIN($J1876,12),"")</f>
        <v/>
      </c>
      <c r="L1876" s="13">
        <f>IF($G1876="正常",MAX($J1876-12,0),"")</f>
        <v/>
      </c>
    </row>
    <row r="1877">
      <c r="A1877" s="8" t="inlineStr">
        <is>
          <t>黎应菊</t>
        </is>
      </c>
      <c r="B1877" s="8" t="inlineStr">
        <is>
          <t>8/16</t>
        </is>
      </c>
      <c r="C1877" s="8" t="inlineStr">
        <is>
          <t>日</t>
        </is>
      </c>
      <c r="D1877" s="8" t="inlineStr"/>
      <c r="E1877" s="9" t="n"/>
      <c r="F1877" s="9" t="n"/>
      <c r="G1877" s="10">
        <f>IF($E1877="","空卡",IF($F1877="","单卡","正常"))</f>
        <v/>
      </c>
      <c r="H1877" s="11">
        <f>IF($G1877="正常",ROUND(($F1877-$E1877)*1440,0),"")</f>
        <v/>
      </c>
      <c r="I1877" s="12">
        <f>IF($G1877="正常",$H1877/60,"")</f>
        <v/>
      </c>
      <c r="J1877" s="13">
        <f>IF($G1877="正常",ROUND($H1877/30,0)/2,"")</f>
        <v/>
      </c>
      <c r="K1877" s="13">
        <f>IF($G1877="正常",MIN($J1877,12),"")</f>
        <v/>
      </c>
      <c r="L1877" s="13">
        <f>IF($G1877="正常",MAX($J1877-12,0),"")</f>
        <v/>
      </c>
    </row>
    <row r="1878">
      <c r="A1878" s="8" t="inlineStr">
        <is>
          <t>黎应菊</t>
        </is>
      </c>
      <c r="B1878" s="8" t="inlineStr">
        <is>
          <t>8/17</t>
        </is>
      </c>
      <c r="C1878" s="8" t="inlineStr">
        <is>
          <t>一</t>
        </is>
      </c>
      <c r="D1878" s="8" t="inlineStr"/>
      <c r="E1878" s="9" t="n"/>
      <c r="F1878" s="9" t="n"/>
      <c r="G1878" s="10">
        <f>IF($E1878="","空卡",IF($F1878="","单卡","正常"))</f>
        <v/>
      </c>
      <c r="H1878" s="11">
        <f>IF($G1878="正常",ROUND(($F1878-$E1878)*1440,0),"")</f>
        <v/>
      </c>
      <c r="I1878" s="12">
        <f>IF($G1878="正常",$H1878/60,"")</f>
        <v/>
      </c>
      <c r="J1878" s="13">
        <f>IF($G1878="正常",ROUND($H1878/30,0)/2,"")</f>
        <v/>
      </c>
      <c r="K1878" s="13">
        <f>IF($G1878="正常",MIN($J1878,12),"")</f>
        <v/>
      </c>
      <c r="L1878" s="13">
        <f>IF($G1878="正常",MAX($J1878-12,0),"")</f>
        <v/>
      </c>
    </row>
    <row r="1879">
      <c r="A1879" s="8" t="inlineStr">
        <is>
          <t>黎应菊</t>
        </is>
      </c>
      <c r="B1879" s="8" t="inlineStr">
        <is>
          <t>8/18</t>
        </is>
      </c>
      <c r="C1879" s="8" t="inlineStr">
        <is>
          <t>二</t>
        </is>
      </c>
      <c r="D1879" s="8" t="inlineStr"/>
      <c r="E1879" s="9" t="n"/>
      <c r="F1879" s="9" t="n"/>
      <c r="G1879" s="10">
        <f>IF($E1879="","空卡",IF($F1879="","单卡","正常"))</f>
        <v/>
      </c>
      <c r="H1879" s="11">
        <f>IF($G1879="正常",ROUND(($F1879-$E1879)*1440,0),"")</f>
        <v/>
      </c>
      <c r="I1879" s="12">
        <f>IF($G1879="正常",$H1879/60,"")</f>
        <v/>
      </c>
      <c r="J1879" s="13">
        <f>IF($G1879="正常",ROUND($H1879/30,0)/2,"")</f>
        <v/>
      </c>
      <c r="K1879" s="13">
        <f>IF($G1879="正常",MIN($J1879,12),"")</f>
        <v/>
      </c>
      <c r="L1879" s="13">
        <f>IF($G1879="正常",MAX($J1879-12,0),"")</f>
        <v/>
      </c>
    </row>
    <row r="1880">
      <c r="A1880" s="8" t="inlineStr">
        <is>
          <t>黎应菊</t>
        </is>
      </c>
      <c r="B1880" s="8" t="inlineStr">
        <is>
          <t>8/19</t>
        </is>
      </c>
      <c r="C1880" s="8" t="inlineStr">
        <is>
          <t>三</t>
        </is>
      </c>
      <c r="D1880" s="8" t="inlineStr"/>
      <c r="E1880" s="9" t="n"/>
      <c r="F1880" s="9" t="n"/>
      <c r="G1880" s="10">
        <f>IF($E1880="","空卡",IF($F1880="","单卡","正常"))</f>
        <v/>
      </c>
      <c r="H1880" s="11">
        <f>IF($G1880="正常",ROUND(($F1880-$E1880)*1440,0),"")</f>
        <v/>
      </c>
      <c r="I1880" s="12">
        <f>IF($G1880="正常",$H1880/60,"")</f>
        <v/>
      </c>
      <c r="J1880" s="13">
        <f>IF($G1880="正常",ROUND($H1880/30,0)/2,"")</f>
        <v/>
      </c>
      <c r="K1880" s="13">
        <f>IF($G1880="正常",MIN($J1880,12),"")</f>
        <v/>
      </c>
      <c r="L1880" s="13">
        <f>IF($G1880="正常",MAX($J1880-12,0),"")</f>
        <v/>
      </c>
    </row>
    <row r="1881">
      <c r="A1881" s="8" t="inlineStr">
        <is>
          <t>黎应菊</t>
        </is>
      </c>
      <c r="B1881" s="8" t="inlineStr">
        <is>
          <t>8/20</t>
        </is>
      </c>
      <c r="C1881" s="8" t="inlineStr">
        <is>
          <t>四</t>
        </is>
      </c>
      <c r="D1881" s="8" t="inlineStr"/>
      <c r="E1881" s="9" t="n"/>
      <c r="F1881" s="9" t="n"/>
      <c r="G1881" s="10">
        <f>IF($E1881="","空卡",IF($F1881="","单卡","正常"))</f>
        <v/>
      </c>
      <c r="H1881" s="11">
        <f>IF($G1881="正常",ROUND(($F1881-$E1881)*1440,0),"")</f>
        <v/>
      </c>
      <c r="I1881" s="12">
        <f>IF($G1881="正常",$H1881/60,"")</f>
        <v/>
      </c>
      <c r="J1881" s="13">
        <f>IF($G1881="正常",ROUND($H1881/30,0)/2,"")</f>
        <v/>
      </c>
      <c r="K1881" s="13">
        <f>IF($G1881="正常",MIN($J1881,12),"")</f>
        <v/>
      </c>
      <c r="L1881" s="13">
        <f>IF($G1881="正常",MAX($J1881-12,0),"")</f>
        <v/>
      </c>
    </row>
    <row r="1882">
      <c r="A1882" s="8" t="inlineStr">
        <is>
          <t>黎应菊</t>
        </is>
      </c>
      <c r="B1882" s="8" t="inlineStr">
        <is>
          <t>8/21</t>
        </is>
      </c>
      <c r="C1882" s="8" t="inlineStr">
        <is>
          <t>五</t>
        </is>
      </c>
      <c r="D1882" s="8" t="inlineStr"/>
      <c r="E1882" s="9" t="n"/>
      <c r="F1882" s="9" t="n"/>
      <c r="G1882" s="10">
        <f>IF($E1882="","空卡",IF($F1882="","单卡","正常"))</f>
        <v/>
      </c>
      <c r="H1882" s="11">
        <f>IF($G1882="正常",ROUND(($F1882-$E1882)*1440,0),"")</f>
        <v/>
      </c>
      <c r="I1882" s="12">
        <f>IF($G1882="正常",$H1882/60,"")</f>
        <v/>
      </c>
      <c r="J1882" s="13">
        <f>IF($G1882="正常",ROUND($H1882/30,0)/2,"")</f>
        <v/>
      </c>
      <c r="K1882" s="13">
        <f>IF($G1882="正常",MIN($J1882,12),"")</f>
        <v/>
      </c>
      <c r="L1882" s="13">
        <f>IF($G1882="正常",MAX($J1882-12,0),"")</f>
        <v/>
      </c>
    </row>
    <row r="1883">
      <c r="A1883" s="8" t="inlineStr">
        <is>
          <t>黎应菊</t>
        </is>
      </c>
      <c r="B1883" s="8" t="inlineStr">
        <is>
          <t>8/22</t>
        </is>
      </c>
      <c r="C1883" s="8" t="inlineStr">
        <is>
          <t>六</t>
        </is>
      </c>
      <c r="D1883" s="8" t="inlineStr"/>
      <c r="E1883" s="9" t="n"/>
      <c r="F1883" s="9" t="n"/>
      <c r="G1883" s="10">
        <f>IF($E1883="","空卡",IF($F1883="","单卡","正常"))</f>
        <v/>
      </c>
      <c r="H1883" s="11">
        <f>IF($G1883="正常",ROUND(($F1883-$E1883)*1440,0),"")</f>
        <v/>
      </c>
      <c r="I1883" s="12">
        <f>IF($G1883="正常",$H1883/60,"")</f>
        <v/>
      </c>
      <c r="J1883" s="13">
        <f>IF($G1883="正常",ROUND($H1883/30,0)/2,"")</f>
        <v/>
      </c>
      <c r="K1883" s="13">
        <f>IF($G1883="正常",MIN($J1883,12),"")</f>
        <v/>
      </c>
      <c r="L1883" s="13">
        <f>IF($G1883="正常",MAX($J1883-12,0),"")</f>
        <v/>
      </c>
    </row>
    <row r="1884">
      <c r="A1884" s="8" t="inlineStr">
        <is>
          <t>黎应菊</t>
        </is>
      </c>
      <c r="B1884" s="8" t="inlineStr">
        <is>
          <t>8/23</t>
        </is>
      </c>
      <c r="C1884" s="8" t="inlineStr">
        <is>
          <t>日</t>
        </is>
      </c>
      <c r="D1884" s="8" t="inlineStr"/>
      <c r="E1884" s="9" t="n"/>
      <c r="F1884" s="9" t="n"/>
      <c r="G1884" s="10">
        <f>IF($E1884="","空卡",IF($F1884="","单卡","正常"))</f>
        <v/>
      </c>
      <c r="H1884" s="11">
        <f>IF($G1884="正常",ROUND(($F1884-$E1884)*1440,0),"")</f>
        <v/>
      </c>
      <c r="I1884" s="12">
        <f>IF($G1884="正常",$H1884/60,"")</f>
        <v/>
      </c>
      <c r="J1884" s="13">
        <f>IF($G1884="正常",ROUND($H1884/30,0)/2,"")</f>
        <v/>
      </c>
      <c r="K1884" s="13">
        <f>IF($G1884="正常",MIN($J1884,12),"")</f>
        <v/>
      </c>
      <c r="L1884" s="13">
        <f>IF($G1884="正常",MAX($J1884-12,0),"")</f>
        <v/>
      </c>
    </row>
    <row r="1885">
      <c r="A1885" s="8" t="inlineStr">
        <is>
          <t>黎应菊</t>
        </is>
      </c>
      <c r="B1885" s="8" t="inlineStr">
        <is>
          <t>8/24</t>
        </is>
      </c>
      <c r="C1885" s="8" t="inlineStr">
        <is>
          <t>一</t>
        </is>
      </c>
      <c r="D1885" s="8" t="inlineStr"/>
      <c r="E1885" s="9" t="n"/>
      <c r="F1885" s="9" t="n"/>
      <c r="G1885" s="10">
        <f>IF($E1885="","空卡",IF($F1885="","单卡","正常"))</f>
        <v/>
      </c>
      <c r="H1885" s="11">
        <f>IF($G1885="正常",ROUND(($F1885-$E1885)*1440,0),"")</f>
        <v/>
      </c>
      <c r="I1885" s="12">
        <f>IF($G1885="正常",$H1885/60,"")</f>
        <v/>
      </c>
      <c r="J1885" s="13">
        <f>IF($G1885="正常",ROUND($H1885/30,0)/2,"")</f>
        <v/>
      </c>
      <c r="K1885" s="13">
        <f>IF($G1885="正常",MIN($J1885,12),"")</f>
        <v/>
      </c>
      <c r="L1885" s="13">
        <f>IF($G1885="正常",MAX($J1885-12,0),"")</f>
        <v/>
      </c>
    </row>
    <row r="1886">
      <c r="A1886" s="8" t="inlineStr">
        <is>
          <t>黎应菊</t>
        </is>
      </c>
      <c r="B1886" s="8" t="inlineStr">
        <is>
          <t>8/25</t>
        </is>
      </c>
      <c r="C1886" s="8" t="inlineStr">
        <is>
          <t>二</t>
        </is>
      </c>
      <c r="D1886" s="8" t="inlineStr"/>
      <c r="E1886" s="9" t="n"/>
      <c r="F1886" s="9" t="n"/>
      <c r="G1886" s="10">
        <f>IF($E1886="","空卡",IF($F1886="","单卡","正常"))</f>
        <v/>
      </c>
      <c r="H1886" s="11">
        <f>IF($G1886="正常",ROUND(($F1886-$E1886)*1440,0),"")</f>
        <v/>
      </c>
      <c r="I1886" s="12">
        <f>IF($G1886="正常",$H1886/60,"")</f>
        <v/>
      </c>
      <c r="J1886" s="13">
        <f>IF($G1886="正常",ROUND($H1886/30,0)/2,"")</f>
        <v/>
      </c>
      <c r="K1886" s="13">
        <f>IF($G1886="正常",MIN($J1886,12),"")</f>
        <v/>
      </c>
      <c r="L1886" s="13">
        <f>IF($G1886="正常",MAX($J1886-12,0),"")</f>
        <v/>
      </c>
    </row>
    <row r="1887">
      <c r="A1887" s="8" t="inlineStr">
        <is>
          <t>黎应菊</t>
        </is>
      </c>
      <c r="B1887" s="8" t="inlineStr">
        <is>
          <t>8/26</t>
        </is>
      </c>
      <c r="C1887" s="8" t="inlineStr">
        <is>
          <t>三</t>
        </is>
      </c>
      <c r="D1887" s="8" t="inlineStr"/>
      <c r="E1887" s="9" t="n"/>
      <c r="F1887" s="9" t="n"/>
      <c r="G1887" s="10">
        <f>IF($E1887="","空卡",IF($F1887="","单卡","正常"))</f>
        <v/>
      </c>
      <c r="H1887" s="11">
        <f>IF($G1887="正常",ROUND(($F1887-$E1887)*1440,0),"")</f>
        <v/>
      </c>
      <c r="I1887" s="12">
        <f>IF($G1887="正常",$H1887/60,"")</f>
        <v/>
      </c>
      <c r="J1887" s="13">
        <f>IF($G1887="正常",ROUND($H1887/30,0)/2,"")</f>
        <v/>
      </c>
      <c r="K1887" s="13">
        <f>IF($G1887="正常",MIN($J1887,12),"")</f>
        <v/>
      </c>
      <c r="L1887" s="13">
        <f>IF($G1887="正常",MAX($J1887-12,0),"")</f>
        <v/>
      </c>
    </row>
    <row r="1888">
      <c r="A1888" s="8" t="inlineStr">
        <is>
          <t>黎应菊</t>
        </is>
      </c>
      <c r="B1888" s="8" t="inlineStr">
        <is>
          <t>8/27</t>
        </is>
      </c>
      <c r="C1888" s="8" t="inlineStr">
        <is>
          <t>四</t>
        </is>
      </c>
      <c r="D1888" s="8" t="inlineStr"/>
      <c r="E1888" s="9" t="n"/>
      <c r="F1888" s="9" t="n"/>
      <c r="G1888" s="10">
        <f>IF($E1888="","空卡",IF($F1888="","单卡","正常"))</f>
        <v/>
      </c>
      <c r="H1888" s="11">
        <f>IF($G1888="正常",ROUND(($F1888-$E1888)*1440,0),"")</f>
        <v/>
      </c>
      <c r="I1888" s="12">
        <f>IF($G1888="正常",$H1888/60,"")</f>
        <v/>
      </c>
      <c r="J1888" s="13">
        <f>IF($G1888="正常",ROUND($H1888/30,0)/2,"")</f>
        <v/>
      </c>
      <c r="K1888" s="13">
        <f>IF($G1888="正常",MIN($J1888,12),"")</f>
        <v/>
      </c>
      <c r="L1888" s="13">
        <f>IF($G1888="正常",MAX($J1888-12,0),"")</f>
        <v/>
      </c>
    </row>
    <row r="1889">
      <c r="A1889" s="8" t="inlineStr">
        <is>
          <t>黎应菊</t>
        </is>
      </c>
      <c r="B1889" s="8" t="inlineStr">
        <is>
          <t>8/28</t>
        </is>
      </c>
      <c r="C1889" s="8" t="inlineStr">
        <is>
          <t>五</t>
        </is>
      </c>
      <c r="D1889" s="8" t="inlineStr"/>
      <c r="E1889" s="9" t="n"/>
      <c r="F1889" s="9" t="n"/>
      <c r="G1889" s="10">
        <f>IF($E1889="","空卡",IF($F1889="","单卡","正常"))</f>
        <v/>
      </c>
      <c r="H1889" s="11">
        <f>IF($G1889="正常",ROUND(($F1889-$E1889)*1440,0),"")</f>
        <v/>
      </c>
      <c r="I1889" s="12">
        <f>IF($G1889="正常",$H1889/60,"")</f>
        <v/>
      </c>
      <c r="J1889" s="13">
        <f>IF($G1889="正常",ROUND($H1889/30,0)/2,"")</f>
        <v/>
      </c>
      <c r="K1889" s="13">
        <f>IF($G1889="正常",MIN($J1889,12),"")</f>
        <v/>
      </c>
      <c r="L1889" s="13">
        <f>IF($G1889="正常",MAX($J1889-12,0),"")</f>
        <v/>
      </c>
    </row>
    <row r="1890">
      <c r="A1890" s="8" t="inlineStr">
        <is>
          <t>黎应菊</t>
        </is>
      </c>
      <c r="B1890" s="8" t="inlineStr">
        <is>
          <t>8/29</t>
        </is>
      </c>
      <c r="C1890" s="8" t="inlineStr">
        <is>
          <t>六</t>
        </is>
      </c>
      <c r="D1890" s="8" t="inlineStr"/>
      <c r="E1890" s="9" t="n"/>
      <c r="F1890" s="9" t="n"/>
      <c r="G1890" s="10">
        <f>IF($E1890="","空卡",IF($F1890="","单卡","正常"))</f>
        <v/>
      </c>
      <c r="H1890" s="11">
        <f>IF($G1890="正常",ROUND(($F1890-$E1890)*1440,0),"")</f>
        <v/>
      </c>
      <c r="I1890" s="12">
        <f>IF($G1890="正常",$H1890/60,"")</f>
        <v/>
      </c>
      <c r="J1890" s="13">
        <f>IF($G1890="正常",ROUND($H1890/30,0)/2,"")</f>
        <v/>
      </c>
      <c r="K1890" s="13">
        <f>IF($G1890="正常",MIN($J1890,12),"")</f>
        <v/>
      </c>
      <c r="L1890" s="13">
        <f>IF($G1890="正常",MAX($J1890-12,0),"")</f>
        <v/>
      </c>
    </row>
    <row r="1891">
      <c r="A1891" s="8" t="inlineStr">
        <is>
          <t>黎应菊</t>
        </is>
      </c>
      <c r="B1891" s="8" t="inlineStr">
        <is>
          <t>8/30</t>
        </is>
      </c>
      <c r="C1891" s="8" t="inlineStr">
        <is>
          <t>日</t>
        </is>
      </c>
      <c r="D1891" s="8" t="inlineStr"/>
      <c r="E1891" s="9" t="n"/>
      <c r="F1891" s="9" t="n"/>
      <c r="G1891" s="10">
        <f>IF($E1891="","空卡",IF($F1891="","单卡","正常"))</f>
        <v/>
      </c>
      <c r="H1891" s="11">
        <f>IF($G1891="正常",ROUND(($F1891-$E1891)*1440,0),"")</f>
        <v/>
      </c>
      <c r="I1891" s="12">
        <f>IF($G1891="正常",$H1891/60,"")</f>
        <v/>
      </c>
      <c r="J1891" s="13">
        <f>IF($G1891="正常",ROUND($H1891/30,0)/2,"")</f>
        <v/>
      </c>
      <c r="K1891" s="13">
        <f>IF($G1891="正常",MIN($J1891,12),"")</f>
        <v/>
      </c>
      <c r="L1891" s="13">
        <f>IF($G1891="正常",MAX($J1891-12,0),"")</f>
        <v/>
      </c>
    </row>
    <row r="1892">
      <c r="A1892" s="8" t="inlineStr">
        <is>
          <t>黎应菊</t>
        </is>
      </c>
      <c r="B1892" s="8" t="inlineStr">
        <is>
          <t>8/31</t>
        </is>
      </c>
      <c r="C1892" s="8" t="inlineStr">
        <is>
          <t>一</t>
        </is>
      </c>
      <c r="D1892" s="8" t="inlineStr"/>
      <c r="E1892" s="9" t="n"/>
      <c r="F1892" s="9" t="n"/>
      <c r="G1892" s="10">
        <f>IF($E1892="","空卡",IF($F1892="","单卡","正常"))</f>
        <v/>
      </c>
      <c r="H1892" s="11">
        <f>IF($G1892="正常",ROUND(($F1892-$E1892)*1440,0),"")</f>
        <v/>
      </c>
      <c r="I1892" s="12">
        <f>IF($G1892="正常",$H1892/60,"")</f>
        <v/>
      </c>
      <c r="J1892" s="13">
        <f>IF($G1892="正常",ROUND($H1892/30,0)/2,"")</f>
        <v/>
      </c>
      <c r="K1892" s="13">
        <f>IF($G1892="正常",MIN($J1892,12),"")</f>
        <v/>
      </c>
      <c r="L1892" s="13">
        <f>IF($G1892="正常",MAX($J1892-12,0),"")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4" t="inlineStr">
        <is>
          <t>2026年8月考勤核算口径与公式说明</t>
        </is>
      </c>
    </row>
    <row r="2">
      <c r="A2" t="inlineStr"/>
    </row>
    <row r="3">
      <c r="A3" s="14" t="inlineStr">
        <is>
          <t>一、核算口径（已用7月数据验证：45人中白班40人、加班41人完全吻合）</t>
        </is>
      </c>
    </row>
    <row r="4">
      <c r="A4" t="inlineStr">
        <is>
          <t>1. 上班天数：当日首末卡齐全（状态=正常）记 1 天；单卡、空卡不计，留白待人工补卡</t>
        </is>
      </c>
    </row>
    <row r="5">
      <c r="A5" t="inlineStr">
        <is>
          <t>2. 当日跨度(分钟) = ROUND((末卡 − 首卡) × 1440, 0) —— 先化成整数分钟再算，避免浮点误差</t>
        </is>
      </c>
    </row>
    <row r="6">
      <c r="A6" t="inlineStr">
        <is>
          <t>3. 取整工时 = ROUND(跨度分钟 ÷ 30, 0) ÷ 2 —— 四舍五入到 0.5 小时（30分钟为一个单位）</t>
        </is>
      </c>
    </row>
    <row r="7">
      <c r="A7" t="inlineStr">
        <is>
          <t>4. 白班 = MIN(取整工时, 12)：每天最多计 12 小时白班</t>
        </is>
      </c>
    </row>
    <row r="8">
      <c r="A8" t="inlineStr">
        <is>
          <t>5. 加班 = MAX(取整工时 − 12, 0)：超出 12 小时的部分才算加班</t>
        </is>
      </c>
    </row>
    <row r="9">
      <c r="A9" t="inlineStr">
        <is>
          <t>6. 月合计 = 白班合计 + 加班合计</t>
        </is>
      </c>
    </row>
    <row r="10">
      <c r="A10" t="inlineStr"/>
    </row>
    <row r="11">
      <c r="A11" s="14" t="inlineStr">
        <is>
          <t>二、每日明细公式（第2行为例，向下填充）</t>
        </is>
      </c>
    </row>
    <row r="12">
      <c r="A12" t="inlineStr">
        <is>
          <t>状态      G2 = IF($E2="","空卡",IF($F2="","单卡","正常"))</t>
        </is>
      </c>
    </row>
    <row r="13">
      <c r="A13" t="inlineStr">
        <is>
          <t>跨度(分)  H2 = IF($G2="正常",ROUND(($F2-$E2)*1440,0),"")</t>
        </is>
      </c>
    </row>
    <row r="14">
      <c r="A14" t="inlineStr">
        <is>
          <t>跨度(h)   I2 = IF($G2="正常",$H2/60,"")</t>
        </is>
      </c>
    </row>
    <row r="15">
      <c r="A15" t="inlineStr">
        <is>
          <t>取整工时  J2 = IF($G2="正常",ROUND($H2/30,0)/2,"")</t>
        </is>
      </c>
    </row>
    <row r="16">
      <c r="A16" t="inlineStr">
        <is>
          <t>白班      K2 = IF($G2="正常",MIN($J2,12),"")</t>
        </is>
      </c>
    </row>
    <row r="17">
      <c r="A17" t="inlineStr">
        <is>
          <t>加班      L2 = IF($G2="正常",MAX($J2-12,0),"")</t>
        </is>
      </c>
    </row>
    <row r="18">
      <c r="A18" t="inlineStr"/>
    </row>
    <row r="19">
      <c r="A19" s="14" t="inlineStr">
        <is>
          <t>三、汇总表公式（以左栏第3行为例）</t>
        </is>
      </c>
    </row>
    <row r="20">
      <c r="A20" t="inlineStr">
        <is>
          <t>上班天数 B3 = IF(COUNTIFS(明细!$A$2:$A$1892,$A3,明细!$G$2:$G$1892,"正常")=0,"/",COUNTIFS(...))</t>
        </is>
      </c>
    </row>
    <row r="21">
      <c r="A21" t="inlineStr">
        <is>
          <t>白班 C3 = IF($B3="/","/",SUMIFS(明细!$K$2:$K$1892,明细!$A$2:$A$1892,$A3))</t>
        </is>
      </c>
    </row>
    <row r="22">
      <c r="A22" t="inlineStr">
        <is>
          <t>加班 D3 = IF($B3="/","/",SUMIFS(明细!$L$2:$L$1892,明细!$A$2:$A$1892,$A3))</t>
        </is>
      </c>
    </row>
    <row r="23">
      <c r="A23" t="inlineStr">
        <is>
          <t>合计 E3 = IF($B3="/","/",$C3+$D3)</t>
        </is>
      </c>
    </row>
    <row r="24">
      <c r="A24" t="inlineStr"/>
    </row>
    <row r="25">
      <c r="A25" s="14" t="inlineStr">
        <is>
          <t>四、使用方法</t>
        </is>
      </c>
    </row>
    <row r="26">
      <c r="A26" t="inlineStr">
        <is>
          <t>1. 在「每日明细」找到标黄的行（单卡/空卡），补上缺失的首卡或末卡（格式 hh:mm）</t>
        </is>
      </c>
    </row>
    <row r="27">
      <c r="A27" t="inlineStr">
        <is>
          <t>2. 状态自动变「正常」，跨度/取整/白班/加班自动算出</t>
        </is>
      </c>
    </row>
    <row r="28">
      <c r="A28" t="inlineStr">
        <is>
          <t>3. 「8月白班及加班统计」用 COUNTIFS/SUMIFS 引用明细，自动重算，无需手改</t>
        </is>
      </c>
    </row>
    <row r="29">
      <c r="A29" t="inlineStr">
        <is>
          <t>4. 如口径调整（例如封顶改 11.5h），只需改明细 K、L 两列公式再向下填充</t>
        </is>
      </c>
    </row>
    <row r="30">
      <c r="A30" t="inlineStr"/>
    </row>
    <row r="31">
      <c r="A31" s="14" t="inlineStr">
        <is>
          <t>五、为什么先算分钟再算小时？</t>
        </is>
      </c>
    </row>
    <row r="32">
      <c r="A32" t="inlineStr">
        <is>
          <t>时间相减会产生二进制浮点误差：如 44100秒÷86400×24 在计算机里 = 12.249999999999998。</t>
        </is>
      </c>
    </row>
    <row r="33">
      <c r="A33" t="inlineStr">
        <is>
          <t>若直接 ROUND(×24×2) 会把本应是 12.5 的值判成 12.0（差 0.5 小时）。</t>
        </is>
      </c>
    </row>
    <row r="34">
      <c r="A34" t="inlineStr">
        <is>
          <t>先 ROUND(×1440) 得到整数分钟，整数÷30 在边界处（如 735÷30=24.5）是精确值， ROUND 才稳定。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2026-09-08T12:59:43Z</dcterms:created>
  <dcterms:modified xmlns:dcterms="http://purl.org/dc/terms/" xmlns:xsi="http://www.w3.org/2001/XMLSchema-instance" xsi:type="dcterms:W3CDTF">2026-09-08T12:59:43Z</dcterms:modified>
</cp:coreProperties>
</file>